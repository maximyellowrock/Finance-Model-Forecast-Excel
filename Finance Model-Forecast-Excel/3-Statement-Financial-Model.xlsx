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9FB6D23-B141-4BF7-AF64-B6D311DC1014}" xr6:coauthVersionLast="47" xr6:coauthVersionMax="47" xr10:uidLastSave="{00000000-0000-0000-0000-000000000000}"/>
  <bookViews>
    <workbookView xWindow="-120" yWindow="-120" windowWidth="20730" windowHeight="11040" tabRatio="920" activeTab="4" xr2:uid="{00000000-000D-0000-FFFF-FFFF00000000}"/>
  </bookViews>
  <sheets>
    <sheet name="Executive Summary" sheetId="1" r:id="rId1"/>
    <sheet name="Assumptions" sheetId="2" r:id="rId2"/>
    <sheet name="Income Statement" sheetId="3" r:id="rId3"/>
    <sheet name="Balance Sheet" sheetId="4" r:id="rId4"/>
    <sheet name="Cash Flow Statement" sheetId="5" r:id="rId5"/>
    <sheet name="Ratios &amp; KPIs" sheetId="6" r:id="rId6"/>
    <sheet name="Monthly Forecast" sheetId="7" r:id="rId7"/>
    <sheet name="Actual vs Budget vs Forecast" sheetId="8" r:id="rId8"/>
    <sheet name="Insights &amp; Recommendation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9" l="1"/>
  <c r="N61" i="8"/>
  <c r="N62" i="8" s="1"/>
  <c r="M61" i="8"/>
  <c r="M62" i="8" s="1"/>
  <c r="L61" i="8"/>
  <c r="L62" i="8" s="1"/>
  <c r="K61" i="8"/>
  <c r="K62" i="8" s="1"/>
  <c r="J61" i="8"/>
  <c r="J62" i="8" s="1"/>
  <c r="I61" i="8"/>
  <c r="I62" i="8" s="1"/>
  <c r="H61" i="8"/>
  <c r="H62" i="8" s="1"/>
  <c r="G61" i="8"/>
  <c r="G62" i="8" s="1"/>
  <c r="F61" i="8"/>
  <c r="F62" i="8" s="1"/>
  <c r="E61" i="8"/>
  <c r="E62" i="8" s="1"/>
  <c r="D61" i="8"/>
  <c r="D62" i="8" s="1"/>
  <c r="C61" i="8"/>
  <c r="C62" i="8" s="1"/>
  <c r="B61" i="8"/>
  <c r="B62" i="8" s="1"/>
  <c r="N57" i="8"/>
  <c r="M57" i="8"/>
  <c r="L57" i="8"/>
  <c r="K57" i="8"/>
  <c r="J57" i="8"/>
  <c r="I57" i="8"/>
  <c r="H57" i="8"/>
  <c r="G57" i="8"/>
  <c r="F57" i="8"/>
  <c r="E57" i="8"/>
  <c r="D57" i="8"/>
  <c r="C57" i="8"/>
  <c r="B57" i="8"/>
  <c r="N56" i="8"/>
  <c r="M56" i="8"/>
  <c r="L56" i="8"/>
  <c r="K56" i="8"/>
  <c r="J56" i="8"/>
  <c r="I56" i="8"/>
  <c r="H56" i="8"/>
  <c r="G56" i="8"/>
  <c r="F56" i="8"/>
  <c r="E56" i="8"/>
  <c r="D56" i="8"/>
  <c r="C56" i="8"/>
  <c r="B56" i="8"/>
  <c r="N54" i="8"/>
  <c r="M54" i="8"/>
  <c r="L54" i="8"/>
  <c r="K54" i="8"/>
  <c r="J54" i="8"/>
  <c r="I54" i="8"/>
  <c r="H54" i="8"/>
  <c r="G54" i="8"/>
  <c r="F54" i="8"/>
  <c r="E54" i="8"/>
  <c r="D54" i="8"/>
  <c r="C54" i="8"/>
  <c r="B54" i="8"/>
  <c r="K50" i="8"/>
  <c r="G50" i="8"/>
  <c r="C50" i="8"/>
  <c r="N49" i="8"/>
  <c r="N50" i="8" s="1"/>
  <c r="M49" i="8"/>
  <c r="M50" i="8" s="1"/>
  <c r="L49" i="8"/>
  <c r="L50" i="8" s="1"/>
  <c r="K49" i="8"/>
  <c r="J49" i="8"/>
  <c r="J50" i="8" s="1"/>
  <c r="I49" i="8"/>
  <c r="I50" i="8" s="1"/>
  <c r="H49" i="8"/>
  <c r="H50" i="8" s="1"/>
  <c r="G49" i="8"/>
  <c r="F49" i="8"/>
  <c r="F50" i="8" s="1"/>
  <c r="E49" i="8"/>
  <c r="E50" i="8" s="1"/>
  <c r="D49" i="8"/>
  <c r="D50" i="8" s="1"/>
  <c r="C49" i="8"/>
  <c r="B49" i="8"/>
  <c r="B50" i="8" s="1"/>
  <c r="N45" i="8"/>
  <c r="M45" i="8"/>
  <c r="L45" i="8"/>
  <c r="K45" i="8"/>
  <c r="J45" i="8"/>
  <c r="I45" i="8"/>
  <c r="H45" i="8"/>
  <c r="G45" i="8"/>
  <c r="F45" i="8"/>
  <c r="E45" i="8"/>
  <c r="D45" i="8"/>
  <c r="C45" i="8"/>
  <c r="B45" i="8"/>
  <c r="N44" i="8"/>
  <c r="M44" i="8"/>
  <c r="L44" i="8"/>
  <c r="K44" i="8"/>
  <c r="J44" i="8"/>
  <c r="I44" i="8"/>
  <c r="H44" i="8"/>
  <c r="G44" i="8"/>
  <c r="F44" i="8"/>
  <c r="E44" i="8"/>
  <c r="D44" i="8"/>
  <c r="C44" i="8"/>
  <c r="B44" i="8"/>
  <c r="N42" i="8"/>
  <c r="M42" i="8"/>
  <c r="L42" i="8"/>
  <c r="K42" i="8"/>
  <c r="J42" i="8"/>
  <c r="I42" i="8"/>
  <c r="H42" i="8"/>
  <c r="G42" i="8"/>
  <c r="F42" i="8"/>
  <c r="E42" i="8"/>
  <c r="D42" i="8"/>
  <c r="C42" i="8"/>
  <c r="B42" i="8"/>
  <c r="M38" i="8"/>
  <c r="L38" i="8"/>
  <c r="K38" i="8"/>
  <c r="J38" i="8"/>
  <c r="I38" i="8"/>
  <c r="H38" i="8"/>
  <c r="G38" i="8"/>
  <c r="F38" i="8"/>
  <c r="E38" i="8"/>
  <c r="D38" i="8"/>
  <c r="C38" i="8"/>
  <c r="B38" i="8"/>
  <c r="N37" i="8"/>
  <c r="N38" i="8" s="1"/>
  <c r="M37" i="8"/>
  <c r="L37" i="8"/>
  <c r="K37" i="8"/>
  <c r="J37" i="8"/>
  <c r="I37" i="8"/>
  <c r="H37" i="8"/>
  <c r="G37" i="8"/>
  <c r="F37" i="8"/>
  <c r="E37" i="8"/>
  <c r="D37" i="8"/>
  <c r="C37" i="8"/>
  <c r="B37" i="8"/>
  <c r="N35" i="8"/>
  <c r="L34" i="8"/>
  <c r="L36" i="8" s="1"/>
  <c r="D34" i="8"/>
  <c r="D36" i="8" s="1"/>
  <c r="L31" i="8"/>
  <c r="I31" i="8"/>
  <c r="H31" i="8"/>
  <c r="D31" i="8"/>
  <c r="N30" i="8"/>
  <c r="N31" i="8" s="1"/>
  <c r="M30" i="8"/>
  <c r="M31" i="8" s="1"/>
  <c r="L30" i="8"/>
  <c r="K30" i="8"/>
  <c r="K31" i="8" s="1"/>
  <c r="J30" i="8"/>
  <c r="J31" i="8" s="1"/>
  <c r="I30" i="8"/>
  <c r="H30" i="8"/>
  <c r="G30" i="8"/>
  <c r="G31" i="8" s="1"/>
  <c r="F30" i="8"/>
  <c r="F31" i="8" s="1"/>
  <c r="E30" i="8"/>
  <c r="E31" i="8" s="1"/>
  <c r="D30" i="8"/>
  <c r="C30" i="8"/>
  <c r="C31" i="8" s="1"/>
  <c r="B30" i="8"/>
  <c r="B31" i="8" s="1"/>
  <c r="M26" i="8"/>
  <c r="L26" i="8"/>
  <c r="K26" i="8"/>
  <c r="J26" i="8"/>
  <c r="I26" i="8"/>
  <c r="H26" i="8"/>
  <c r="G26" i="8"/>
  <c r="F26" i="8"/>
  <c r="E26" i="8"/>
  <c r="D26" i="8"/>
  <c r="C26" i="8"/>
  <c r="B26" i="8"/>
  <c r="N25" i="8"/>
  <c r="N26" i="8" s="1"/>
  <c r="M25" i="8"/>
  <c r="L25" i="8"/>
  <c r="K25" i="8"/>
  <c r="J25" i="8"/>
  <c r="I25" i="8"/>
  <c r="H25" i="8"/>
  <c r="G25" i="8"/>
  <c r="F25" i="8"/>
  <c r="E25" i="8"/>
  <c r="D25" i="8"/>
  <c r="C25" i="8"/>
  <c r="B25" i="8"/>
  <c r="N23" i="8"/>
  <c r="M23" i="8"/>
  <c r="L23" i="8"/>
  <c r="K23" i="8"/>
  <c r="J23" i="8"/>
  <c r="I23" i="8"/>
  <c r="H23" i="8"/>
  <c r="G23" i="8"/>
  <c r="F23" i="8"/>
  <c r="E23" i="8"/>
  <c r="D23" i="8"/>
  <c r="C23" i="8"/>
  <c r="B23" i="8"/>
  <c r="M19" i="8"/>
  <c r="L19" i="8"/>
  <c r="K19" i="8"/>
  <c r="J19" i="8"/>
  <c r="I19" i="8"/>
  <c r="H19" i="8"/>
  <c r="G19" i="8"/>
  <c r="F19" i="8"/>
  <c r="E19" i="8"/>
  <c r="D19" i="8"/>
  <c r="C19" i="8"/>
  <c r="B19" i="8"/>
  <c r="N18" i="8"/>
  <c r="N19" i="8" s="1"/>
  <c r="M18" i="8"/>
  <c r="L18" i="8"/>
  <c r="K18" i="8"/>
  <c r="J18" i="8"/>
  <c r="I18" i="8"/>
  <c r="H18" i="8"/>
  <c r="G18" i="8"/>
  <c r="F18" i="8"/>
  <c r="E18" i="8"/>
  <c r="D18" i="8"/>
  <c r="C18" i="8"/>
  <c r="B18" i="8"/>
  <c r="N16" i="8"/>
  <c r="M12" i="8"/>
  <c r="L12" i="8"/>
  <c r="K12" i="8"/>
  <c r="J12" i="8"/>
  <c r="I12" i="8"/>
  <c r="H12" i="8"/>
  <c r="G12" i="8"/>
  <c r="F12" i="8"/>
  <c r="E12" i="8"/>
  <c r="D12" i="8"/>
  <c r="C12" i="8"/>
  <c r="B12" i="8"/>
  <c r="N11" i="8"/>
  <c r="N12" i="8" s="1"/>
  <c r="M11" i="8"/>
  <c r="L11" i="8"/>
  <c r="K11" i="8"/>
  <c r="J11" i="8"/>
  <c r="I11" i="8"/>
  <c r="H11" i="8"/>
  <c r="G11" i="8"/>
  <c r="F11" i="8"/>
  <c r="E11" i="8"/>
  <c r="D11" i="8"/>
  <c r="C11" i="8"/>
  <c r="B11" i="8"/>
  <c r="N9" i="8"/>
  <c r="M8" i="8"/>
  <c r="M15" i="7"/>
  <c r="L15" i="7"/>
  <c r="K15" i="7"/>
  <c r="J15" i="7"/>
  <c r="I15" i="7"/>
  <c r="H15" i="7"/>
  <c r="G15" i="7"/>
  <c r="F15" i="7"/>
  <c r="E15" i="7"/>
  <c r="D15" i="7"/>
  <c r="C15" i="7"/>
  <c r="B15" i="7"/>
  <c r="L11" i="7"/>
  <c r="K11" i="7"/>
  <c r="K34" i="8" s="1"/>
  <c r="K36" i="8" s="1"/>
  <c r="D11" i="7"/>
  <c r="C11" i="7"/>
  <c r="C34" i="8" s="1"/>
  <c r="C36" i="8" s="1"/>
  <c r="K10" i="7"/>
  <c r="K12" i="7" s="1"/>
  <c r="G10" i="7"/>
  <c r="C10" i="7"/>
  <c r="C12" i="7" s="1"/>
  <c r="L9" i="7"/>
  <c r="K9" i="7"/>
  <c r="K15" i="8" s="1"/>
  <c r="K17" i="8" s="1"/>
  <c r="H9" i="7"/>
  <c r="G9" i="7"/>
  <c r="G15" i="8" s="1"/>
  <c r="G17" i="8" s="1"/>
  <c r="D9" i="7"/>
  <c r="C9" i="7"/>
  <c r="C15" i="8" s="1"/>
  <c r="C17" i="8" s="1"/>
  <c r="M8" i="7"/>
  <c r="L8" i="7"/>
  <c r="K8" i="7"/>
  <c r="J8" i="7"/>
  <c r="J11" i="7" s="1"/>
  <c r="J34" i="8" s="1"/>
  <c r="J36" i="8" s="1"/>
  <c r="I8" i="7"/>
  <c r="H8" i="7"/>
  <c r="G8" i="7"/>
  <c r="F8" i="7"/>
  <c r="F11" i="7" s="1"/>
  <c r="F34" i="8" s="1"/>
  <c r="F36" i="8" s="1"/>
  <c r="E8" i="7"/>
  <c r="D8" i="7"/>
  <c r="C8" i="7"/>
  <c r="B8" i="7"/>
  <c r="A2" i="6"/>
  <c r="G4" i="5"/>
  <c r="F4" i="5"/>
  <c r="E4" i="5"/>
  <c r="D4" i="5"/>
  <c r="C4" i="5"/>
  <c r="G14" i="4"/>
  <c r="F14" i="4"/>
  <c r="E14" i="4"/>
  <c r="D14" i="4"/>
  <c r="C14" i="4"/>
  <c r="B14" i="4"/>
  <c r="G12" i="4"/>
  <c r="F12" i="4"/>
  <c r="E12" i="4"/>
  <c r="D12" i="4"/>
  <c r="C12" i="4"/>
  <c r="B12" i="4"/>
  <c r="B8" i="4"/>
  <c r="B4" i="4"/>
  <c r="B11" i="3"/>
  <c r="B4" i="3"/>
  <c r="B9" i="3" s="1"/>
  <c r="F20" i="2"/>
  <c r="D11" i="5" s="1"/>
  <c r="D12" i="5" s="1"/>
  <c r="F18" i="2"/>
  <c r="F17" i="2"/>
  <c r="F16" i="2"/>
  <c r="F12" i="2"/>
  <c r="D11" i="3" s="1"/>
  <c r="F11" i="2"/>
  <c r="F10" i="2"/>
  <c r="F9" i="2"/>
  <c r="F8" i="2"/>
  <c r="F7" i="2"/>
  <c r="C4" i="3" s="1"/>
  <c r="D38" i="1"/>
  <c r="C38" i="1"/>
  <c r="B38" i="1"/>
  <c r="D37" i="1"/>
  <c r="C37" i="1"/>
  <c r="B37" i="1"/>
  <c r="D36" i="1"/>
  <c r="C36" i="1"/>
  <c r="B36" i="1"/>
  <c r="B15" i="1"/>
  <c r="B10" i="1"/>
  <c r="B6" i="1"/>
  <c r="A2" i="1"/>
  <c r="C5" i="6" l="1"/>
  <c r="C9" i="3"/>
  <c r="C6" i="5" s="1"/>
  <c r="C7" i="3"/>
  <c r="C5" i="3"/>
  <c r="D4" i="3"/>
  <c r="C15" i="1"/>
  <c r="C5" i="4"/>
  <c r="C6" i="3"/>
  <c r="E11" i="3"/>
  <c r="A9" i="9"/>
  <c r="B5" i="3"/>
  <c r="B7" i="3"/>
  <c r="F11" i="3"/>
  <c r="C15" i="5"/>
  <c r="E11" i="7"/>
  <c r="E34" i="8" s="1"/>
  <c r="E36" i="8" s="1"/>
  <c r="E13" i="7"/>
  <c r="E9" i="7"/>
  <c r="E15" i="8" s="1"/>
  <c r="E17" i="8" s="1"/>
  <c r="I11" i="7"/>
  <c r="I34" i="8" s="1"/>
  <c r="I36" i="8" s="1"/>
  <c r="I8" i="8"/>
  <c r="I9" i="7"/>
  <c r="I15" i="8" s="1"/>
  <c r="I17" i="8" s="1"/>
  <c r="M11" i="7"/>
  <c r="M34" i="8" s="1"/>
  <c r="M36" i="8" s="1"/>
  <c r="M13" i="7"/>
  <c r="M9" i="7"/>
  <c r="M15" i="8" s="1"/>
  <c r="M17" i="8" s="1"/>
  <c r="H15" i="8"/>
  <c r="H17" i="8" s="1"/>
  <c r="H10" i="7"/>
  <c r="I13" i="7"/>
  <c r="E8" i="8"/>
  <c r="G11" i="5"/>
  <c r="G12" i="5" s="1"/>
  <c r="C11" i="5"/>
  <c r="C12" i="5" s="1"/>
  <c r="F11" i="5"/>
  <c r="F12" i="5" s="1"/>
  <c r="C11" i="3"/>
  <c r="G11" i="3"/>
  <c r="C8" i="4"/>
  <c r="E11" i="5"/>
  <c r="E12" i="5" s="1"/>
  <c r="B8" i="8"/>
  <c r="B11" i="7"/>
  <c r="B9" i="7"/>
  <c r="B13" i="7"/>
  <c r="N8" i="7"/>
  <c r="B20" i="7" s="1"/>
  <c r="K14" i="7"/>
  <c r="K16" i="7" s="1"/>
  <c r="M22" i="8"/>
  <c r="M10" i="8"/>
  <c r="B5" i="4"/>
  <c r="D15" i="8"/>
  <c r="D17" i="8" s="1"/>
  <c r="D10" i="7"/>
  <c r="D12" i="7" s="1"/>
  <c r="L15" i="8"/>
  <c r="L17" i="8" s="1"/>
  <c r="L10" i="7"/>
  <c r="L12" i="7" s="1"/>
  <c r="J13" i="7"/>
  <c r="F8" i="8"/>
  <c r="C8" i="8"/>
  <c r="C13" i="7"/>
  <c r="C14" i="7" s="1"/>
  <c r="C16" i="7" s="1"/>
  <c r="G8" i="8"/>
  <c r="G13" i="7"/>
  <c r="K8" i="8"/>
  <c r="K13" i="7"/>
  <c r="F9" i="7"/>
  <c r="F15" i="8" s="1"/>
  <c r="F17" i="8" s="1"/>
  <c r="J9" i="7"/>
  <c r="J15" i="8" s="1"/>
  <c r="J17" i="8" s="1"/>
  <c r="G11" i="7"/>
  <c r="G34" i="8" s="1"/>
  <c r="G36" i="8" s="1"/>
  <c r="N15" i="7"/>
  <c r="D8" i="8"/>
  <c r="D13" i="7"/>
  <c r="H8" i="8"/>
  <c r="H13" i="7"/>
  <c r="L8" i="8"/>
  <c r="L13" i="7"/>
  <c r="F10" i="7"/>
  <c r="F12" i="7" s="1"/>
  <c r="F14" i="7" s="1"/>
  <c r="F16" i="7" s="1"/>
  <c r="H11" i="7"/>
  <c r="H34" i="8" s="1"/>
  <c r="H36" i="8" s="1"/>
  <c r="F13" i="7"/>
  <c r="J8" i="8"/>
  <c r="C17" i="7" l="1"/>
  <c r="C18" i="7" s="1"/>
  <c r="C53" i="8" s="1"/>
  <c r="J22" i="8"/>
  <c r="J10" i="8"/>
  <c r="F18" i="7"/>
  <c r="F53" i="8" s="1"/>
  <c r="F55" i="8" s="1"/>
  <c r="F17" i="7"/>
  <c r="H10" i="8"/>
  <c r="H22" i="8"/>
  <c r="K10" i="8"/>
  <c r="K22" i="8"/>
  <c r="M41" i="8"/>
  <c r="M24" i="8"/>
  <c r="B15" i="8"/>
  <c r="N9" i="7"/>
  <c r="B11" i="4"/>
  <c r="B6" i="4"/>
  <c r="B12" i="6" s="1"/>
  <c r="D14" i="7"/>
  <c r="D16" i="7" s="1"/>
  <c r="K17" i="7"/>
  <c r="K18" i="7"/>
  <c r="K53" i="8" s="1"/>
  <c r="K55" i="8" s="1"/>
  <c r="B10" i="7"/>
  <c r="G12" i="7"/>
  <c r="G14" i="7" s="1"/>
  <c r="G16" i="7" s="1"/>
  <c r="M10" i="7"/>
  <c r="M12" i="7" s="1"/>
  <c r="M14" i="7" s="1"/>
  <c r="M16" i="7" s="1"/>
  <c r="I10" i="7"/>
  <c r="I12" i="7" s="1"/>
  <c r="I14" i="7" s="1"/>
  <c r="I16" i="7" s="1"/>
  <c r="E10" i="7"/>
  <c r="E12" i="7" s="1"/>
  <c r="E14" i="7" s="1"/>
  <c r="E16" i="7" s="1"/>
  <c r="L22" i="8"/>
  <c r="L29" i="8" s="1"/>
  <c r="L10" i="8"/>
  <c r="D29" i="8"/>
  <c r="D22" i="8"/>
  <c r="D10" i="8"/>
  <c r="G10" i="8"/>
  <c r="G22" i="8"/>
  <c r="G29" i="8" s="1"/>
  <c r="B6" i="3"/>
  <c r="M29" i="8"/>
  <c r="B34" i="8"/>
  <c r="N11" i="7"/>
  <c r="H12" i="7"/>
  <c r="H14" i="7" s="1"/>
  <c r="H16" i="7" s="1"/>
  <c r="I22" i="8"/>
  <c r="I10" i="8"/>
  <c r="I29" i="8"/>
  <c r="D5" i="6"/>
  <c r="D9" i="3"/>
  <c r="D6" i="5" s="1"/>
  <c r="D7" i="3"/>
  <c r="D5" i="3"/>
  <c r="E4" i="3"/>
  <c r="D5" i="4"/>
  <c r="D6" i="3"/>
  <c r="D15" i="1"/>
  <c r="C10" i="8"/>
  <c r="C22" i="8"/>
  <c r="C7" i="5"/>
  <c r="C11" i="6"/>
  <c r="F22" i="8"/>
  <c r="F10" i="8"/>
  <c r="B11" i="6"/>
  <c r="B7" i="4"/>
  <c r="J10" i="7"/>
  <c r="J12" i="7" s="1"/>
  <c r="J14" i="7" s="1"/>
  <c r="J16" i="7" s="1"/>
  <c r="L14" i="7"/>
  <c r="L16" i="7" s="1"/>
  <c r="N13" i="7"/>
  <c r="B22" i="8"/>
  <c r="B10" i="8"/>
  <c r="B29" i="8"/>
  <c r="N8" i="8"/>
  <c r="E22" i="8"/>
  <c r="E29" i="8" s="1"/>
  <c r="E10" i="8"/>
  <c r="C6" i="6"/>
  <c r="C8" i="3"/>
  <c r="C11" i="4"/>
  <c r="C6" i="4"/>
  <c r="C55" i="8" l="1"/>
  <c r="C60" i="8"/>
  <c r="C13" i="6"/>
  <c r="C13" i="4"/>
  <c r="C15" i="4" s="1"/>
  <c r="C9" i="5"/>
  <c r="N10" i="8"/>
  <c r="F24" i="8"/>
  <c r="F41" i="8"/>
  <c r="E5" i="6"/>
  <c r="F4" i="3"/>
  <c r="E15" i="1"/>
  <c r="E5" i="4"/>
  <c r="E9" i="3"/>
  <c r="E6" i="5" s="1"/>
  <c r="E7" i="3"/>
  <c r="E5" i="3"/>
  <c r="N34" i="8"/>
  <c r="B36" i="8"/>
  <c r="N36" i="8" s="1"/>
  <c r="M17" i="7"/>
  <c r="M18" i="7"/>
  <c r="M53" i="8" s="1"/>
  <c r="K24" i="8"/>
  <c r="K41" i="8"/>
  <c r="K60" i="8"/>
  <c r="J41" i="8"/>
  <c r="J24" i="8"/>
  <c r="L17" i="7"/>
  <c r="L18" i="7"/>
  <c r="L53" i="8" s="1"/>
  <c r="J18" i="7"/>
  <c r="J53" i="8" s="1"/>
  <c r="J17" i="7"/>
  <c r="C24" i="8"/>
  <c r="C41" i="8"/>
  <c r="C7" i="6"/>
  <c r="C10" i="3"/>
  <c r="C12" i="3" s="1"/>
  <c r="N22" i="8"/>
  <c r="N29" i="8" s="1"/>
  <c r="B41" i="8"/>
  <c r="B24" i="8"/>
  <c r="D8" i="4"/>
  <c r="E8" i="4" s="1"/>
  <c r="F60" i="8"/>
  <c r="C29" i="8"/>
  <c r="D11" i="4"/>
  <c r="D6" i="4"/>
  <c r="I41" i="8"/>
  <c r="I24" i="8"/>
  <c r="D41" i="8"/>
  <c r="D24" i="8"/>
  <c r="G17" i="7"/>
  <c r="G18" i="7" s="1"/>
  <c r="G53" i="8" s="1"/>
  <c r="D17" i="7"/>
  <c r="D18" i="7"/>
  <c r="D53" i="8" s="1"/>
  <c r="N15" i="8"/>
  <c r="B17" i="8"/>
  <c r="N17" i="8" s="1"/>
  <c r="K29" i="8"/>
  <c r="H41" i="8"/>
  <c r="H24" i="8"/>
  <c r="H29" i="8"/>
  <c r="J29" i="8"/>
  <c r="C12" i="6"/>
  <c r="C8" i="5"/>
  <c r="E41" i="8"/>
  <c r="E24" i="8"/>
  <c r="D11" i="6"/>
  <c r="D7" i="5"/>
  <c r="G24" i="8"/>
  <c r="G41" i="8"/>
  <c r="I18" i="7"/>
  <c r="I53" i="8" s="1"/>
  <c r="I17" i="7"/>
  <c r="B13" i="6"/>
  <c r="B13" i="4"/>
  <c r="B15" i="4" s="1"/>
  <c r="M43" i="8"/>
  <c r="M48" i="8"/>
  <c r="B9" i="4"/>
  <c r="B9" i="6"/>
  <c r="F29" i="8"/>
  <c r="D6" i="6"/>
  <c r="D8" i="3"/>
  <c r="H17" i="7"/>
  <c r="H18" i="7"/>
  <c r="H53" i="8" s="1"/>
  <c r="B6" i="6"/>
  <c r="B8" i="3"/>
  <c r="L41" i="8"/>
  <c r="L24" i="8"/>
  <c r="E17" i="7"/>
  <c r="E18" i="7" s="1"/>
  <c r="E53" i="8" s="1"/>
  <c r="N10" i="7"/>
  <c r="B12" i="7"/>
  <c r="E55" i="8" l="1"/>
  <c r="E60" i="8"/>
  <c r="G55" i="8"/>
  <c r="G60" i="8"/>
  <c r="D55" i="8"/>
  <c r="D60" i="8"/>
  <c r="D12" i="6"/>
  <c r="D8" i="5"/>
  <c r="J55" i="8"/>
  <c r="J60" i="8"/>
  <c r="J43" i="8"/>
  <c r="J48" i="8"/>
  <c r="E11" i="6"/>
  <c r="E7" i="5"/>
  <c r="F43" i="8"/>
  <c r="F48" i="8"/>
  <c r="G43" i="8"/>
  <c r="G48" i="8"/>
  <c r="D43" i="8"/>
  <c r="D48" i="8"/>
  <c r="D13" i="6"/>
  <c r="D9" i="5"/>
  <c r="D13" i="4"/>
  <c r="D15" i="4" s="1"/>
  <c r="N24" i="8"/>
  <c r="C43" i="8"/>
  <c r="C48" i="8"/>
  <c r="L55" i="8"/>
  <c r="L60" i="8"/>
  <c r="B14" i="7"/>
  <c r="N12" i="7"/>
  <c r="H55" i="8"/>
  <c r="H60" i="8"/>
  <c r="I55" i="8"/>
  <c r="I60" i="8"/>
  <c r="H43" i="8"/>
  <c r="H48" i="8"/>
  <c r="E11" i="4"/>
  <c r="E6" i="4"/>
  <c r="B7" i="6"/>
  <c r="B10" i="3"/>
  <c r="B12" i="3" s="1"/>
  <c r="B8" i="1"/>
  <c r="D7" i="6"/>
  <c r="D10" i="3"/>
  <c r="D12" i="3" s="1"/>
  <c r="B16" i="4"/>
  <c r="E43" i="8"/>
  <c r="E48" i="8"/>
  <c r="B43" i="8"/>
  <c r="N41" i="8"/>
  <c r="N48" i="8" s="1"/>
  <c r="B48" i="8"/>
  <c r="K43" i="8"/>
  <c r="K48" i="8"/>
  <c r="F5" i="6"/>
  <c r="F5" i="4"/>
  <c r="F9" i="3"/>
  <c r="F6" i="5" s="1"/>
  <c r="F7" i="3"/>
  <c r="F5" i="3"/>
  <c r="F15" i="1"/>
  <c r="G4" i="3"/>
  <c r="F8" i="4"/>
  <c r="M55" i="8"/>
  <c r="M60" i="8"/>
  <c r="L43" i="8"/>
  <c r="L48" i="8"/>
  <c r="I43" i="8"/>
  <c r="I48" i="8"/>
  <c r="C13" i="3"/>
  <c r="C14" i="3"/>
  <c r="E6" i="3"/>
  <c r="F11" i="4" l="1"/>
  <c r="F6" i="4"/>
  <c r="G8" i="4"/>
  <c r="C16" i="4"/>
  <c r="B10" i="6"/>
  <c r="E8" i="5"/>
  <c r="E12" i="6"/>
  <c r="C8" i="6"/>
  <c r="C16" i="1"/>
  <c r="C5" i="5"/>
  <c r="C10" i="5" s="1"/>
  <c r="C14" i="5" s="1"/>
  <c r="C16" i="5" s="1"/>
  <c r="C4" i="4" s="1"/>
  <c r="F7" i="5"/>
  <c r="F11" i="6"/>
  <c r="G9" i="3"/>
  <c r="G6" i="5" s="1"/>
  <c r="G7" i="3"/>
  <c r="G5" i="3"/>
  <c r="G15" i="1"/>
  <c r="G5" i="6"/>
  <c r="G5" i="4"/>
  <c r="G6" i="3"/>
  <c r="C6" i="1"/>
  <c r="D6" i="1" s="1"/>
  <c r="A5" i="9"/>
  <c r="N43" i="8"/>
  <c r="B14" i="3"/>
  <c r="B13" i="3"/>
  <c r="E13" i="6"/>
  <c r="E9" i="5"/>
  <c r="E13" i="4"/>
  <c r="E15" i="4" s="1"/>
  <c r="N14" i="7"/>
  <c r="B16" i="7"/>
  <c r="E6" i="6"/>
  <c r="E8" i="3"/>
  <c r="F6" i="3"/>
  <c r="D13" i="3"/>
  <c r="D14" i="3"/>
  <c r="B17" i="4"/>
  <c r="B19" i="4" s="1"/>
  <c r="B16" i="6" s="1"/>
  <c r="B8" i="6" l="1"/>
  <c r="B7" i="1"/>
  <c r="B16" i="1"/>
  <c r="B9" i="1"/>
  <c r="G11" i="4"/>
  <c r="G6" i="4"/>
  <c r="D15" i="5"/>
  <c r="D16" i="5" s="1"/>
  <c r="D4" i="4" s="1"/>
  <c r="C17" i="6"/>
  <c r="C7" i="4"/>
  <c r="F8" i="5"/>
  <c r="F12" i="6"/>
  <c r="E7" i="6"/>
  <c r="E10" i="3"/>
  <c r="E12" i="3" s="1"/>
  <c r="G6" i="6"/>
  <c r="G8" i="3"/>
  <c r="D5" i="5"/>
  <c r="D10" i="5" s="1"/>
  <c r="D14" i="5" s="1"/>
  <c r="D8" i="6"/>
  <c r="D16" i="1"/>
  <c r="G7" i="5"/>
  <c r="G11" i="6"/>
  <c r="B17" i="7"/>
  <c r="N17" i="7" s="1"/>
  <c r="N16" i="7"/>
  <c r="F6" i="6"/>
  <c r="F8" i="3"/>
  <c r="D16" i="4"/>
  <c r="C10" i="6"/>
  <c r="C17" i="4"/>
  <c r="F13" i="6"/>
  <c r="F9" i="5"/>
  <c r="F13" i="4"/>
  <c r="F15" i="4" s="1"/>
  <c r="D10" i="6" l="1"/>
  <c r="D17" i="4"/>
  <c r="E15" i="5"/>
  <c r="D7" i="4"/>
  <c r="D17" i="6"/>
  <c r="B18" i="7"/>
  <c r="C9" i="6"/>
  <c r="C9" i="4"/>
  <c r="C19" i="4" s="1"/>
  <c r="C16" i="6" s="1"/>
  <c r="G9" i="5"/>
  <c r="G13" i="4"/>
  <c r="G15" i="4" s="1"/>
  <c r="G13" i="6"/>
  <c r="F10" i="3"/>
  <c r="F12" i="3" s="1"/>
  <c r="F7" i="6"/>
  <c r="E13" i="3"/>
  <c r="E14" i="3" s="1"/>
  <c r="G12" i="6"/>
  <c r="G8" i="5"/>
  <c r="G7" i="6"/>
  <c r="C8" i="1"/>
  <c r="D8" i="1" s="1"/>
  <c r="G10" i="3"/>
  <c r="G12" i="3" s="1"/>
  <c r="E5" i="5" l="1"/>
  <c r="E10" i="5" s="1"/>
  <c r="E14" i="5" s="1"/>
  <c r="E16" i="1"/>
  <c r="E8" i="6"/>
  <c r="E16" i="4"/>
  <c r="E16" i="5"/>
  <c r="E4" i="4" s="1"/>
  <c r="N18" i="7"/>
  <c r="B21" i="7" s="1"/>
  <c r="B53" i="8"/>
  <c r="G13" i="3"/>
  <c r="G14" i="3"/>
  <c r="F13" i="3"/>
  <c r="F14" i="3" s="1"/>
  <c r="D9" i="6"/>
  <c r="D9" i="4"/>
  <c r="D19" i="4" s="1"/>
  <c r="D16" i="6" s="1"/>
  <c r="F8" i="6" l="1"/>
  <c r="F5" i="5"/>
  <c r="F10" i="5" s="1"/>
  <c r="F14" i="5" s="1"/>
  <c r="F16" i="1"/>
  <c r="B55" i="8"/>
  <c r="N55" i="8" s="1"/>
  <c r="N53" i="8"/>
  <c r="N60" i="8" s="1"/>
  <c r="B60" i="8"/>
  <c r="F16" i="4"/>
  <c r="E10" i="6"/>
  <c r="E17" i="4"/>
  <c r="A6" i="9"/>
  <c r="G8" i="6"/>
  <c r="G16" i="1"/>
  <c r="C9" i="1"/>
  <c r="D9" i="1" s="1"/>
  <c r="C7" i="1"/>
  <c r="D7" i="1" s="1"/>
  <c r="G5" i="5"/>
  <c r="G10" i="5" s="1"/>
  <c r="G14" i="5" s="1"/>
  <c r="E17" i="6"/>
  <c r="F15" i="5"/>
  <c r="E7" i="4"/>
  <c r="G16" i="4" l="1"/>
  <c r="F10" i="6"/>
  <c r="F17" i="4"/>
  <c r="E9" i="6"/>
  <c r="E9" i="4"/>
  <c r="E19" i="4" s="1"/>
  <c r="E16" i="6" s="1"/>
  <c r="F16" i="5"/>
  <c r="F4" i="4" s="1"/>
  <c r="F17" i="6" l="1"/>
  <c r="G15" i="5"/>
  <c r="G16" i="5" s="1"/>
  <c r="G4" i="4" s="1"/>
  <c r="F7" i="4"/>
  <c r="G10" i="6"/>
  <c r="A7" i="9" s="1"/>
  <c r="G17" i="4"/>
  <c r="F9" i="6" l="1"/>
  <c r="F9" i="4"/>
  <c r="F19" i="4" s="1"/>
  <c r="F16" i="6" s="1"/>
  <c r="C10" i="1"/>
  <c r="D10" i="1" s="1"/>
  <c r="G17" i="6"/>
  <c r="G7" i="4"/>
  <c r="A14" i="9"/>
  <c r="G9" i="6" l="1"/>
  <c r="A8" i="9" s="1"/>
  <c r="G9" i="4"/>
  <c r="G19" i="4" s="1"/>
  <c r="G16" i="6" s="1"/>
</calcChain>
</file>

<file path=xl/sharedStrings.xml><?xml version="1.0" encoding="utf-8"?>
<sst xmlns="http://schemas.openxmlformats.org/spreadsheetml/2006/main" count="233" uniqueCount="138">
  <si>
    <t>Executive Summary</t>
  </si>
  <si>
    <t>Headline KPIs (Year 1 -&gt; Year 6, current scenario)</t>
  </si>
  <si>
    <t>2026A</t>
  </si>
  <si>
    <t>2031E</t>
  </si>
  <si>
    <t>CAGR / Change</t>
  </si>
  <si>
    <t>Revenue</t>
  </si>
  <si>
    <t>Net Income</t>
  </si>
  <si>
    <t>EBITDA Margin</t>
  </si>
  <si>
    <t>Net Margin</t>
  </si>
  <si>
    <t>Ending Cash</t>
  </si>
  <si>
    <t>CAGR = Compound Annual Growth Rate (average yearly growth over the 5 forecast years).</t>
  </si>
  <si>
    <t>Revenue &amp; Net Income Trend (current scenario)</t>
  </si>
  <si>
    <t>2027E</t>
  </si>
  <si>
    <t>2028E</t>
  </si>
  <si>
    <t>2029E</t>
  </si>
  <si>
    <t>2030E</t>
  </si>
  <si>
    <t>Scenario Comparison — 2031E (Year 6)</t>
  </si>
  <si>
    <t>Base</t>
  </si>
  <si>
    <t>Upside</t>
  </si>
  <si>
    <t>Downside</t>
  </si>
  <si>
    <t>Note: this table recalculates Year 6 revenue and net income directly from each scenario's own drivers (growth, COGS%, Opex%, depreciation%, interest rate, and tax rate), independent of the scenario selector above — so all three cases are visible at the same time for comparison.</t>
  </si>
  <si>
    <t>Simple 3-Statement Model — Assumptions</t>
  </si>
  <si>
    <t>Legend: blue = input cell (edit these) · yellow = key driver · green = link to another sheet</t>
  </si>
  <si>
    <t>Scenario Selector</t>
  </si>
  <si>
    <t>Growth &amp; Margin Drivers</t>
  </si>
  <si>
    <t>Active</t>
  </si>
  <si>
    <t>Revenue growth, Years 2-6 (%)</t>
  </si>
  <si>
    <t>COGS (% of revenue)</t>
  </si>
  <si>
    <t>Opex (% of revenue)</t>
  </si>
  <si>
    <t>Depreciation (% of revenue)</t>
  </si>
  <si>
    <t>Tax rate (%)</t>
  </si>
  <si>
    <t>Interest rate on debt (%)</t>
  </si>
  <si>
    <t>Working Capital Drivers</t>
  </si>
  <si>
    <t>Accounts receivable (days)</t>
  </si>
  <si>
    <t>Inventory (days, based on COGS)</t>
  </si>
  <si>
    <t>Accounts payable (days, based on COGS)</t>
  </si>
  <si>
    <t>Capex (fixed $ per year)</t>
  </si>
  <si>
    <t>Year 1 (Base/Actual) Balances</t>
  </si>
  <si>
    <t>Year 1 revenue ($)</t>
  </si>
  <si>
    <t>Year 1 ending cash ($)</t>
  </si>
  <si>
    <t>Year 1 ending net PP&amp;E ($)</t>
  </si>
  <si>
    <t>Year 1 ending debt ($)</t>
  </si>
  <si>
    <t>Current portion of debt (%) — 0% = fully long-term (no repayment modeled, consistent with Cash from Financing = 0)</t>
  </si>
  <si>
    <t>Simplifying assumptions (documented): debt balance is held constant across all years (no new borrowing/repayment, so interest expense is non-circular); no dividends are paid (all net income is retained); tax is applied even if EBT is negative (no NOL carryforward); the same revenue-growth rate is applied to every forecast year within a scenario (a single driver per scenario, not a year-by-year schedule) to keep the model easy to audit.</t>
  </si>
  <si>
    <t>Income Statement</t>
  </si>
  <si>
    <t>($)</t>
  </si>
  <si>
    <t>COGS</t>
  </si>
  <si>
    <t>Gross Profit</t>
  </si>
  <si>
    <t>Opex</t>
  </si>
  <si>
    <t>EBITDA</t>
  </si>
  <si>
    <t>Depreciation</t>
  </si>
  <si>
    <t>EBIT</t>
  </si>
  <si>
    <t>Interest Expense</t>
  </si>
  <si>
    <t>EBT</t>
  </si>
  <si>
    <t>Tax</t>
  </si>
  <si>
    <t>Balance Sheet</t>
  </si>
  <si>
    <t>Cash</t>
  </si>
  <si>
    <t>Accounts Receivable</t>
  </si>
  <si>
    <t>Inventory</t>
  </si>
  <si>
    <t>Total Current Assets</t>
  </si>
  <si>
    <t>Net PP&amp;E</t>
  </si>
  <si>
    <t>Total Assets</t>
  </si>
  <si>
    <t>Accounts Payable</t>
  </si>
  <si>
    <t>Current Portion of Debt</t>
  </si>
  <si>
    <t>Total Current Liabilities</t>
  </si>
  <si>
    <t>Long-Term Debt</t>
  </si>
  <si>
    <t>Total Liabilities</t>
  </si>
  <si>
    <t>Equity</t>
  </si>
  <si>
    <t>Total Liabilities + Equity</t>
  </si>
  <si>
    <t>Check (Assets - Liab&amp;Eq)</t>
  </si>
  <si>
    <t>Cash Flow Statement</t>
  </si>
  <si>
    <t>Year 1 is the actual/base year, so no cash flow build is shown for it.</t>
  </si>
  <si>
    <t>+ Depreciation</t>
  </si>
  <si>
    <t>(Increase) in Accounts Receivable</t>
  </si>
  <si>
    <t>(Increase) in Inventory</t>
  </si>
  <si>
    <t>Increase in Accounts Payable</t>
  </si>
  <si>
    <t>Cash from Operations</t>
  </si>
  <si>
    <t>Capex</t>
  </si>
  <si>
    <t>Cash from Investing</t>
  </si>
  <si>
    <t>Cash from Financing</t>
  </si>
  <si>
    <t>Net Change in Cash</t>
  </si>
  <si>
    <t>Beginning Cash</t>
  </si>
  <si>
    <t>Ratios &amp; KPIs</t>
  </si>
  <si>
    <t>Revenue Growth (%)</t>
  </si>
  <si>
    <t>n/a</t>
  </si>
  <si>
    <t>Gross Margin (%)</t>
  </si>
  <si>
    <t>EBITDA Margin (%)</t>
  </si>
  <si>
    <t>Net Margin (%)</t>
  </si>
  <si>
    <t>Current Ratio (x)</t>
  </si>
  <si>
    <t>Debt / Equity (x)</t>
  </si>
  <si>
    <t>Days Sales Outstanding (AR)</t>
  </si>
  <si>
    <t>Days Inventory Outstanding</t>
  </si>
  <si>
    <t>Days Payable Outstanding</t>
  </si>
  <si>
    <t>Model Integrity Checks</t>
  </si>
  <si>
    <t>Balance Sheet Check (should be 0)</t>
  </si>
  <si>
    <t>Ending Cash = Balance Sheet Cash (should be 0)</t>
  </si>
  <si>
    <t>Monthly Forecast (12M) — 2027 Budget</t>
  </si>
  <si>
    <t>This is the first forecast year (2027E) split evenly across 12 months (annual / 12, no seasonality assumed), so the Full Year Total below always ties exactly to the 2027 Base Budget figures. It is based on the Base assumptions and independent of the scenario selector — because this is the Budget that Actual results get measured against. Note: if you edit the Base column values in Assumptions, this Budget will reflect that edit too — it is not a frozen historical snapshot, just decoupled from the Upside/Downside toggle.</t>
  </si>
  <si>
    <t>M1</t>
  </si>
  <si>
    <t>M2</t>
  </si>
  <si>
    <t>M3</t>
  </si>
  <si>
    <t>M4</t>
  </si>
  <si>
    <t>M5</t>
  </si>
  <si>
    <t>M6</t>
  </si>
  <si>
    <t>M7</t>
  </si>
  <si>
    <t>M8</t>
  </si>
  <si>
    <t>M9</t>
  </si>
  <si>
    <t>M10</t>
  </si>
  <si>
    <t>M11</t>
  </si>
  <si>
    <t>M12</t>
  </si>
  <si>
    <t>FY Total</t>
  </si>
  <si>
    <t>Budget Tie Check (Monthly Total vs. Annual Base Model — should be 0)</t>
  </si>
  <si>
    <t>&lt;- Revenue</t>
  </si>
  <si>
    <t>&lt;- Net Income</t>
  </si>
  <si>
    <t>Actual vs. Budget vs. Latest Estimate — 2027</t>
  </si>
  <si>
    <t>Budget = the Monthly Forecast plan (based on Base assumptions). Enter real monthly results in the blue Actual rows (Revenue, COGS, Opex) as each month closes — leave future months blank. Gross Profit, EBITDA, and Net Income are then derived automatically. "Latest Estimate" = Actual for closed months + remaining Budget for open months (a common FP&amp;A shortcut — not a full re-forecast, since open months aren't given new assumptions of their own). For COGS and Opex, a NEGATIVE variance means actual cost came in BELOW budget — that's favorable, the opposite of Revenue/Profit lines.</t>
  </si>
  <si>
    <t>FY / YTD</t>
  </si>
  <si>
    <t xml:space="preserve">  Budget</t>
  </si>
  <si>
    <t xml:space="preserve">  Actual (enter here)</t>
  </si>
  <si>
    <t xml:space="preserve">  Latest Estimate</t>
  </si>
  <si>
    <t xml:space="preserve">  Variance ($)</t>
  </si>
  <si>
    <t xml:space="preserve">  Variance (%)</t>
  </si>
  <si>
    <t xml:space="preserve">  Actual (derived)</t>
  </si>
  <si>
    <t>Gross Margin %</t>
  </si>
  <si>
    <t xml:space="preserve">  Budget %</t>
  </si>
  <si>
    <t xml:space="preserve">  Actual %</t>
  </si>
  <si>
    <t xml:space="preserve">  Variance (pp)</t>
  </si>
  <si>
    <t>EBITDA Margin %</t>
  </si>
  <si>
    <t>Net Margin %</t>
  </si>
  <si>
    <t>Note: months are assumed to "close" together — i.e. once you enter a month's Revenue, also enter that month's COGS and Opex, since Gross Profit / EBITDA / Net Income for that month need all three to compute. Net Income (Actual) keeps Depreciation, Interest, and Tax rate at Budget levels, since this tab does not separately track those as actuals — so it isolates the effect of Revenue/COGS/Opex variance specifically, which is normally what "why is profit off budget" questions are about.</t>
  </si>
  <si>
    <t>Insights &amp; Recommendations</t>
  </si>
  <si>
    <t>Key Findings</t>
  </si>
  <si>
    <t>Recommendations</t>
  </si>
  <si>
    <t>1. Track monthly Actuals against the Budget from month one (see the Actual vs Budget vs Forecast tab) — catching a variance early is far cheaper than discovering it at year-end.</t>
  </si>
  <si>
    <t>2. Since profitability is highly sensitive to COGS% and Opex% (see how much the Downside scenario compresses Net Income), prioritize renegotiating supplier terms or tightening cost control over simply chasing more revenue.</t>
  </si>
  <si>
    <t>4. Revisit the working-capital assumptions (AR/Inventory/AP days) against real collections and supplier data once available — these currently drive the Balance Sheet but are estimates, not measured figures.</t>
  </si>
  <si>
    <t>5. Re-run this model under the Upside and Downside scenarios before making major commitments (hiring, capex, financing) so decisions are stress-tested against more than the single most-likely case.</t>
  </si>
  <si>
    <t>Note: findings above are generated live from the model's formulas (they will update if you change assumptions or the scenario). Recommendations are qualitative judgment calls a preparer would normally validate with management before presenting.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</si>
</sst>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0%"/>
    <numFmt numFmtId="166" formatCode="\+0.0%;\-0.0%"/>
    <numFmt numFmtId="167" formatCode="0.0\x"/>
  </numFmts>
  <fonts count="11" x14ac:knownFonts="1">
    <font>
      <sz val="11"/>
      <color theme="1"/>
      <name val="Calibri"/>
      <family val="2"/>
      <charset val="1"/>
    </font>
    <font>
      <b/>
      <sz val="14"/>
      <name val="Arial"/>
      <charset val="1"/>
    </font>
    <font>
      <i/>
      <sz val="9"/>
      <color rgb="FF595959"/>
      <name val="Arial"/>
      <charset val="1"/>
    </font>
    <font>
      <b/>
      <sz val="10"/>
      <name val="Arial"/>
      <charset val="1"/>
    </font>
    <font>
      <sz val="10"/>
      <color rgb="FF000000"/>
      <name val="Arial"/>
      <charset val="1"/>
    </font>
    <font>
      <sz val="10"/>
      <color rgb="FF008000"/>
      <name val="Arial"/>
      <charset val="1"/>
    </font>
    <font>
      <b/>
      <sz val="10"/>
      <color rgb="FFFFFFFF"/>
      <name val="Arial"/>
      <charset val="1"/>
    </font>
    <font>
      <b/>
      <sz val="10"/>
      <color rgb="FF0000FF"/>
      <name val="Arial"/>
      <charset val="1"/>
    </font>
    <font>
      <sz val="10"/>
      <color rgb="FF0000FF"/>
      <name val="Arial"/>
      <charset val="1"/>
    </font>
    <font>
      <b/>
      <sz val="10"/>
      <color rgb="FF008000"/>
      <name val="Arial"/>
      <charset val="1"/>
    </font>
    <font>
      <b/>
      <sz val="10"/>
      <color rgb="FF000000"/>
      <name val="Arial"/>
      <charset val="1"/>
    </font>
  </fonts>
  <fills count="6">
    <fill>
      <patternFill patternType="none"/>
    </fill>
    <fill>
      <patternFill patternType="gray125"/>
    </fill>
    <fill>
      <patternFill patternType="solid">
        <fgColor rgb="FFD9E1F2"/>
        <bgColor rgb="FFD9D9D9"/>
      </patternFill>
    </fill>
    <fill>
      <patternFill patternType="solid">
        <fgColor rgb="FF1F4E78"/>
        <bgColor rgb="FF003366"/>
      </patternFill>
    </fill>
    <fill>
      <patternFill patternType="solid">
        <fgColor rgb="FFFFFF00"/>
        <bgColor rgb="FFFFFF00"/>
      </patternFill>
    </fill>
    <fill>
      <patternFill patternType="solid">
        <fgColor rgb="FFE2EFDA"/>
        <bgColor rgb="FFD9E1F2"/>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style="thin">
        <color auto="1"/>
      </top>
      <bottom style="double">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59">
    <xf numFmtId="0" fontId="0" fillId="0" borderId="0" xfId="0"/>
    <xf numFmtId="0" fontId="2" fillId="0" borderId="0" xfId="0" applyFont="1" applyAlignment="1">
      <alignment vertical="top" wrapText="1"/>
    </xf>
    <xf numFmtId="0" fontId="2" fillId="0" borderId="0" xfId="0" applyFont="1" applyAlignment="1">
      <alignment wrapText="1"/>
    </xf>
    <xf numFmtId="0" fontId="1" fillId="0" borderId="0" xfId="0" applyFont="1"/>
    <xf numFmtId="0" fontId="2" fillId="0" borderId="0" xfId="0" applyFont="1"/>
    <xf numFmtId="0" fontId="3" fillId="2" borderId="0" xfId="0" applyFont="1" applyFill="1"/>
    <xf numFmtId="0" fontId="0" fillId="2" borderId="0" xfId="0" applyFill="1"/>
    <xf numFmtId="0" fontId="3" fillId="0" borderId="0" xfId="0" applyFont="1" applyAlignment="1">
      <alignment horizontal="center"/>
    </xf>
    <xf numFmtId="0" fontId="4" fillId="0" borderId="0" xfId="0" applyFont="1"/>
    <xf numFmtId="164" fontId="5" fillId="0" borderId="1" xfId="0" applyNumberFormat="1" applyFont="1" applyBorder="1"/>
    <xf numFmtId="165" fontId="5" fillId="0" borderId="1" xfId="0" applyNumberFormat="1" applyFont="1" applyBorder="1"/>
    <xf numFmtId="166" fontId="5" fillId="0" borderId="1" xfId="0" applyNumberFormat="1" applyFont="1" applyBorder="1"/>
    <xf numFmtId="0" fontId="6" fillId="3" borderId="0" xfId="0" applyFont="1" applyFill="1" applyAlignment="1">
      <alignment horizontal="center"/>
    </xf>
    <xf numFmtId="0" fontId="2" fillId="0" borderId="0" xfId="0" applyFont="1" applyAlignment="1">
      <alignment wrapText="1"/>
    </xf>
    <xf numFmtId="0" fontId="3" fillId="0" borderId="0" xfId="0" applyFont="1"/>
    <xf numFmtId="0" fontId="7" fillId="4" borderId="0" xfId="0" applyFont="1" applyFill="1" applyAlignment="1">
      <alignment horizontal="center"/>
    </xf>
    <xf numFmtId="165" fontId="4" fillId="2" borderId="0" xfId="0" applyNumberFormat="1" applyFont="1" applyFill="1"/>
    <xf numFmtId="0" fontId="3" fillId="2" borderId="0" xfId="0" applyFont="1" applyFill="1" applyAlignment="1">
      <alignment horizontal="center"/>
    </xf>
    <xf numFmtId="165" fontId="4" fillId="0" borderId="0" xfId="0" applyNumberFormat="1" applyFont="1"/>
    <xf numFmtId="165" fontId="8" fillId="0" borderId="1" xfId="0" applyNumberFormat="1" applyFont="1" applyBorder="1"/>
    <xf numFmtId="165" fontId="3" fillId="4" borderId="1" xfId="0" applyNumberFormat="1" applyFont="1" applyFill="1" applyBorder="1"/>
    <xf numFmtId="1" fontId="4" fillId="2" borderId="0" xfId="0" applyNumberFormat="1" applyFont="1" applyFill="1"/>
    <xf numFmtId="1" fontId="4" fillId="0" borderId="0" xfId="0" applyNumberFormat="1" applyFont="1"/>
    <xf numFmtId="1" fontId="8" fillId="0" borderId="1" xfId="0" applyNumberFormat="1" applyFont="1" applyBorder="1"/>
    <xf numFmtId="1" fontId="3" fillId="4" borderId="1" xfId="0" applyNumberFormat="1" applyFont="1" applyFill="1" applyBorder="1"/>
    <xf numFmtId="164" fontId="4" fillId="0" borderId="0" xfId="0" applyNumberFormat="1" applyFont="1"/>
    <xf numFmtId="164" fontId="8" fillId="0" borderId="1" xfId="0" applyNumberFormat="1" applyFont="1" applyBorder="1"/>
    <xf numFmtId="164" fontId="3" fillId="4" borderId="1" xfId="0" applyNumberFormat="1" applyFont="1" applyFill="1" applyBorder="1"/>
    <xf numFmtId="164" fontId="4" fillId="2" borderId="0" xfId="0" applyNumberFormat="1" applyFont="1" applyFill="1"/>
    <xf numFmtId="164" fontId="8" fillId="4" borderId="1" xfId="0" applyNumberFormat="1" applyFont="1" applyFill="1" applyBorder="1"/>
    <xf numFmtId="0" fontId="4" fillId="0" borderId="0" xfId="0" applyFont="1" applyAlignment="1">
      <alignment vertical="top" wrapText="1"/>
    </xf>
    <xf numFmtId="165" fontId="8" fillId="4" borderId="1" xfId="0" applyNumberFormat="1" applyFont="1" applyFill="1" applyBorder="1"/>
    <xf numFmtId="164" fontId="9" fillId="0" borderId="1" xfId="0" applyNumberFormat="1" applyFont="1" applyBorder="1"/>
    <xf numFmtId="0" fontId="3" fillId="0" borderId="2" xfId="0" applyFont="1" applyBorder="1"/>
    <xf numFmtId="164" fontId="3" fillId="0" borderId="1" xfId="0" applyNumberFormat="1" applyFont="1" applyBorder="1"/>
    <xf numFmtId="164" fontId="4" fillId="0" borderId="1" xfId="0" applyNumberFormat="1" applyFont="1" applyBorder="1"/>
    <xf numFmtId="0" fontId="4" fillId="0" borderId="2" xfId="0" applyFont="1" applyBorder="1"/>
    <xf numFmtId="164" fontId="3" fillId="5" borderId="1" xfId="0" applyNumberFormat="1" applyFont="1" applyFill="1" applyBorder="1"/>
    <xf numFmtId="164" fontId="4" fillId="5" borderId="1" xfId="0" applyNumberFormat="1" applyFont="1" applyFill="1" applyBorder="1"/>
    <xf numFmtId="0" fontId="1" fillId="0" borderId="3" xfId="0" applyFont="1" applyBorder="1"/>
    <xf numFmtId="0" fontId="4" fillId="0" borderId="4" xfId="0" applyFont="1" applyBorder="1"/>
    <xf numFmtId="0" fontId="2" fillId="0" borderId="5" xfId="0" applyFont="1" applyBorder="1"/>
    <xf numFmtId="0" fontId="4" fillId="0" borderId="6" xfId="0" applyFont="1" applyBorder="1"/>
    <xf numFmtId="0" fontId="4" fillId="0" borderId="7" xfId="0" applyFont="1" applyBorder="1"/>
    <xf numFmtId="0" fontId="4" fillId="0" borderId="8" xfId="0" applyFont="1" applyBorder="1"/>
    <xf numFmtId="0" fontId="4" fillId="0" borderId="6" xfId="0" applyFont="1" applyBorder="1" applyAlignment="1">
      <alignment horizontal="center"/>
    </xf>
    <xf numFmtId="0" fontId="6" fillId="3" borderId="6" xfId="0" applyFont="1" applyFill="1" applyBorder="1" applyAlignment="1">
      <alignment horizontal="center"/>
    </xf>
    <xf numFmtId="164" fontId="4" fillId="0" borderId="6" xfId="0" applyNumberFormat="1" applyFont="1" applyBorder="1"/>
    <xf numFmtId="164" fontId="4" fillId="0" borderId="4" xfId="0" applyNumberFormat="1" applyFont="1" applyBorder="1"/>
    <xf numFmtId="0" fontId="3" fillId="0" borderId="9" xfId="0" applyFont="1" applyBorder="1"/>
    <xf numFmtId="164" fontId="4" fillId="0" borderId="10" xfId="0" applyNumberFormat="1" applyFont="1" applyBorder="1"/>
    <xf numFmtId="0" fontId="5" fillId="0" borderId="1" xfId="0" applyFont="1" applyBorder="1" applyAlignment="1">
      <alignment horizontal="center"/>
    </xf>
    <xf numFmtId="167" fontId="5" fillId="0" borderId="1" xfId="0" applyNumberFormat="1" applyFont="1" applyBorder="1"/>
    <xf numFmtId="1" fontId="5" fillId="0" borderId="1" xfId="0" applyNumberFormat="1" applyFont="1" applyBorder="1"/>
    <xf numFmtId="0" fontId="4" fillId="5" borderId="1" xfId="0" applyFont="1" applyFill="1" applyBorder="1" applyAlignment="1">
      <alignment horizontal="center"/>
    </xf>
    <xf numFmtId="164" fontId="5" fillId="5" borderId="1" xfId="0" applyNumberFormat="1" applyFont="1" applyFill="1" applyBorder="1"/>
    <xf numFmtId="0" fontId="8" fillId="4" borderId="1" xfId="0" applyFont="1" applyFill="1" applyBorder="1"/>
    <xf numFmtId="164" fontId="10" fillId="0" borderId="1" xfId="0" applyNumberFormat="1" applyFont="1" applyBorder="1"/>
    <xf numFmtId="165"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F81BD"/>
      <rgbColor rgb="FF9999FF"/>
      <rgbColor rgb="FFC0504D"/>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B3B3B3"/>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Revenue &amp; Net Income Trend</a:t>
            </a:r>
          </a:p>
        </c:rich>
      </c:tx>
      <c:overlay val="0"/>
      <c:spPr>
        <a:noFill/>
        <a:ln w="0">
          <a:noFill/>
        </a:ln>
      </c:spPr>
    </c:title>
    <c:autoTitleDeleted val="0"/>
    <c:plotArea>
      <c:layout/>
      <c:lineChart>
        <c:grouping val="standard"/>
        <c:varyColors val="0"/>
        <c:ser>
          <c:idx val="0"/>
          <c:order val="0"/>
          <c:tx>
            <c:v>Revenue</c:v>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Summary'!$B$14:$G$14</c:f>
              <c:strCache>
                <c:ptCount val="6"/>
                <c:pt idx="0">
                  <c:v>2026A</c:v>
                </c:pt>
                <c:pt idx="1">
                  <c:v>2027E</c:v>
                </c:pt>
                <c:pt idx="2">
                  <c:v>2028E</c:v>
                </c:pt>
                <c:pt idx="3">
                  <c:v>2029E</c:v>
                </c:pt>
                <c:pt idx="4">
                  <c:v>2030E</c:v>
                </c:pt>
                <c:pt idx="5">
                  <c:v>2031E</c:v>
                </c:pt>
              </c:strCache>
            </c:strRef>
          </c:cat>
          <c:val>
            <c:numRef>
              <c:f>'Executive Summary'!$B$15:$G$15</c:f>
              <c:numCache>
                <c:formatCode>\$#,##0;"($"#,##0\);\-</c:formatCode>
                <c:ptCount val="6"/>
                <c:pt idx="0">
                  <c:v>100000</c:v>
                </c:pt>
                <c:pt idx="1">
                  <c:v>108000</c:v>
                </c:pt>
                <c:pt idx="2">
                  <c:v>116640.00000000001</c:v>
                </c:pt>
                <c:pt idx="3">
                  <c:v>125971.20000000003</c:v>
                </c:pt>
                <c:pt idx="4">
                  <c:v>136048.89600000004</c:v>
                </c:pt>
                <c:pt idx="5">
                  <c:v>146932.80768000006</c:v>
                </c:pt>
              </c:numCache>
            </c:numRef>
          </c:val>
          <c:smooth val="1"/>
          <c:extLst>
            <c:ext xmlns:c16="http://schemas.microsoft.com/office/drawing/2014/chart" uri="{C3380CC4-5D6E-409C-BE32-E72D297353CC}">
              <c16:uniqueId val="{00000000-D69F-4387-B271-8B8C7A0252B6}"/>
            </c:ext>
          </c:extLst>
        </c:ser>
        <c:ser>
          <c:idx val="1"/>
          <c:order val="1"/>
          <c:tx>
            <c:v>Net Income</c:v>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Summary'!$B$14:$G$14</c:f>
              <c:strCache>
                <c:ptCount val="6"/>
                <c:pt idx="0">
                  <c:v>2026A</c:v>
                </c:pt>
                <c:pt idx="1">
                  <c:v>2027E</c:v>
                </c:pt>
                <c:pt idx="2">
                  <c:v>2028E</c:v>
                </c:pt>
                <c:pt idx="3">
                  <c:v>2029E</c:v>
                </c:pt>
                <c:pt idx="4">
                  <c:v>2030E</c:v>
                </c:pt>
                <c:pt idx="5">
                  <c:v>2031E</c:v>
                </c:pt>
              </c:strCache>
            </c:strRef>
          </c:cat>
          <c:val>
            <c:numRef>
              <c:f>'Executive Summary'!$B$16:$G$16</c:f>
              <c:numCache>
                <c:formatCode>\$#,##0;"($"#,##0\);\-</c:formatCode>
                <c:ptCount val="6"/>
                <c:pt idx="0">
                  <c:v>10560</c:v>
                </c:pt>
                <c:pt idx="1">
                  <c:v>11520</c:v>
                </c:pt>
                <c:pt idx="2">
                  <c:v>12556.800000000008</c:v>
                </c:pt>
                <c:pt idx="3">
                  <c:v>13676.544000000004</c:v>
                </c:pt>
                <c:pt idx="4">
                  <c:v>14885.867520000011</c:v>
                </c:pt>
                <c:pt idx="5">
                  <c:v>16191.936921600014</c:v>
                </c:pt>
              </c:numCache>
            </c:numRef>
          </c:val>
          <c:smooth val="1"/>
          <c:extLst>
            <c:ext xmlns:c16="http://schemas.microsoft.com/office/drawing/2014/chart" uri="{C3380CC4-5D6E-409C-BE32-E72D297353CC}">
              <c16:uniqueId val="{00000001-D69F-4387-B271-8B8C7A0252B6}"/>
            </c:ext>
          </c:extLst>
        </c:ser>
        <c:dLbls>
          <c:showLegendKey val="0"/>
          <c:showVal val="0"/>
          <c:showCatName val="0"/>
          <c:showSerName val="0"/>
          <c:showPercent val="0"/>
          <c:showBubbleSize val="0"/>
        </c:dLbls>
        <c:hiLowLines>
          <c:spPr>
            <a:ln w="0">
              <a:noFill/>
            </a:ln>
          </c:spPr>
        </c:hiLowLines>
        <c:smooth val="0"/>
        <c:axId val="53533204"/>
        <c:axId val="49755520"/>
      </c:lineChart>
      <c:catAx>
        <c:axId val="53533204"/>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755520"/>
        <c:crosses val="autoZero"/>
        <c:auto val="1"/>
        <c:lblAlgn val="ctr"/>
        <c:lblOffset val="100"/>
        <c:noMultiLvlLbl val="0"/>
      </c:catAx>
      <c:valAx>
        <c:axId val="4975552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USD</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5332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Scenario Comparison — 2031E Revenue &amp; Net Income</a:t>
            </a:r>
          </a:p>
        </c:rich>
      </c:tx>
      <c:overlay val="0"/>
      <c:spPr>
        <a:noFill/>
        <a:ln w="0">
          <a:noFill/>
        </a:ln>
      </c:spPr>
    </c:title>
    <c:autoTitleDeleted val="0"/>
    <c:plotArea>
      <c:layout/>
      <c:barChart>
        <c:barDir val="col"/>
        <c:grouping val="clustered"/>
        <c:varyColors val="0"/>
        <c:ser>
          <c:idx val="0"/>
          <c:order val="0"/>
          <c:tx>
            <c:v>Revenue</c:v>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Summary'!$B$35:$D$35</c:f>
              <c:strCache>
                <c:ptCount val="3"/>
                <c:pt idx="0">
                  <c:v>Base</c:v>
                </c:pt>
                <c:pt idx="1">
                  <c:v>Upside</c:v>
                </c:pt>
                <c:pt idx="2">
                  <c:v>Downside</c:v>
                </c:pt>
              </c:strCache>
            </c:strRef>
          </c:cat>
          <c:val>
            <c:numRef>
              <c:f>'Executive Summary'!$B$36:$D$36</c:f>
              <c:numCache>
                <c:formatCode>\$#,##0;"($"#,##0\);\-</c:formatCode>
                <c:ptCount val="3"/>
                <c:pt idx="0">
                  <c:v>146932.80768000003</c:v>
                </c:pt>
                <c:pt idx="1">
                  <c:v>201135.71874999994</c:v>
                </c:pt>
                <c:pt idx="2">
                  <c:v>110408.08032000001</c:v>
                </c:pt>
              </c:numCache>
            </c:numRef>
          </c:val>
          <c:extLst>
            <c:ext xmlns:c16="http://schemas.microsoft.com/office/drawing/2014/chart" uri="{C3380CC4-5D6E-409C-BE32-E72D297353CC}">
              <c16:uniqueId val="{00000000-9B35-4CE0-A2BD-46E50BE1884F}"/>
            </c:ext>
          </c:extLst>
        </c:ser>
        <c:ser>
          <c:idx val="1"/>
          <c:order val="1"/>
          <c:tx>
            <c:v>Net Income</c:v>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Summary'!$B$35:$D$35</c:f>
              <c:strCache>
                <c:ptCount val="3"/>
                <c:pt idx="0">
                  <c:v>Base</c:v>
                </c:pt>
                <c:pt idx="1">
                  <c:v>Upside</c:v>
                </c:pt>
                <c:pt idx="2">
                  <c:v>Downside</c:v>
                </c:pt>
              </c:strCache>
            </c:strRef>
          </c:cat>
          <c:val>
            <c:numRef>
              <c:f>'Executive Summary'!$B$37:$D$37</c:f>
              <c:numCache>
                <c:formatCode>\$#,##0;"($"#,##0\);\-</c:formatCode>
                <c:ptCount val="3"/>
                <c:pt idx="0">
                  <c:v>16191.936921600005</c:v>
                </c:pt>
                <c:pt idx="1">
                  <c:v>29132.629250000005</c:v>
                </c:pt>
                <c:pt idx="2">
                  <c:v>3859.5878553600023</c:v>
                </c:pt>
              </c:numCache>
            </c:numRef>
          </c:val>
          <c:extLst>
            <c:ext xmlns:c16="http://schemas.microsoft.com/office/drawing/2014/chart" uri="{C3380CC4-5D6E-409C-BE32-E72D297353CC}">
              <c16:uniqueId val="{00000001-9B35-4CE0-A2BD-46E50BE1884F}"/>
            </c:ext>
          </c:extLst>
        </c:ser>
        <c:dLbls>
          <c:showLegendKey val="0"/>
          <c:showVal val="0"/>
          <c:showCatName val="0"/>
          <c:showSerName val="0"/>
          <c:showPercent val="0"/>
          <c:showBubbleSize val="0"/>
        </c:dLbls>
        <c:gapWidth val="150"/>
        <c:axId val="94118169"/>
        <c:axId val="49577945"/>
      </c:barChart>
      <c:catAx>
        <c:axId val="941181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577945"/>
        <c:crosses val="autoZero"/>
        <c:auto val="1"/>
        <c:lblAlgn val="ctr"/>
        <c:lblOffset val="100"/>
        <c:noMultiLvlLbl val="0"/>
      </c:catAx>
      <c:valAx>
        <c:axId val="4957794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USD</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41181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160560</xdr:rowOff>
    </xdr:from>
    <xdr:to>
      <xdr:col>5</xdr:col>
      <xdr:colOff>696240</xdr:colOff>
      <xdr:row>31</xdr:row>
      <xdr:rowOff>179280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42</xdr:row>
      <xdr:rowOff>160560</xdr:rowOff>
    </xdr:from>
    <xdr:to>
      <xdr:col>5</xdr:col>
      <xdr:colOff>696240</xdr:colOff>
      <xdr:row>57</xdr:row>
      <xdr:rowOff>179280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showGridLines="0" zoomScaleNormal="100" workbookViewId="0">
      <pane ySplit="3" topLeftCell="A37" activePane="bottomLeft" state="frozen"/>
      <selection pane="bottomLeft"/>
    </sheetView>
  </sheetViews>
  <sheetFormatPr defaultColWidth="8.7109375" defaultRowHeight="15" x14ac:dyDescent="0.25"/>
  <cols>
    <col min="1" max="1" width="26" customWidth="1"/>
    <col min="2" max="7" width="14" customWidth="1"/>
  </cols>
  <sheetData>
    <row r="1" spans="1:7" ht="17.25" customHeight="1" x14ac:dyDescent="0.25">
      <c r="A1" s="3" t="s">
        <v>0</v>
      </c>
    </row>
    <row r="2" spans="1:7" ht="15" customHeight="1" x14ac:dyDescent="0.25">
      <c r="A2" s="4" t="str">
        <f>"Active scenario: "&amp;Assumptions!$B$4&amp;"  |  Figures below reflect the currently selected scenario, except the scenario comparison table."</f>
        <v>Active scenario: Base  |  Figures below reflect the currently selected scenario, except the scenario comparison table.</v>
      </c>
    </row>
    <row r="4" spans="1:7" ht="15" customHeight="1" x14ac:dyDescent="0.25">
      <c r="A4" s="5" t="s">
        <v>1</v>
      </c>
      <c r="B4" s="6"/>
      <c r="C4" s="6"/>
      <c r="D4" s="6"/>
    </row>
    <row r="5" spans="1:7" ht="15" customHeight="1" x14ac:dyDescent="0.25">
      <c r="B5" s="7" t="s">
        <v>2</v>
      </c>
      <c r="C5" s="7" t="s">
        <v>3</v>
      </c>
      <c r="D5" s="7" t="s">
        <v>4</v>
      </c>
    </row>
    <row r="6" spans="1:7" ht="15" customHeight="1" x14ac:dyDescent="0.25">
      <c r="A6" s="8" t="s">
        <v>5</v>
      </c>
      <c r="B6" s="9">
        <f>'Income Statement'!B4</f>
        <v>100000</v>
      </c>
      <c r="C6" s="9">
        <f>'Income Statement'!G4</f>
        <v>146932.80768000006</v>
      </c>
      <c r="D6" s="10">
        <f>(C6/B6)^(1/5)-1</f>
        <v>8.0000000000000071E-2</v>
      </c>
    </row>
    <row r="7" spans="1:7" ht="15" customHeight="1" x14ac:dyDescent="0.25">
      <c r="A7" s="8" t="s">
        <v>6</v>
      </c>
      <c r="B7" s="9">
        <f>'Income Statement'!B14</f>
        <v>10560</v>
      </c>
      <c r="C7" s="9">
        <f>'Income Statement'!G14</f>
        <v>16191.936921600014</v>
      </c>
      <c r="D7" s="10">
        <f>(C7/B7)^(1/5)-1</f>
        <v>8.9248516244290199E-2</v>
      </c>
    </row>
    <row r="8" spans="1:7" ht="15" customHeight="1" x14ac:dyDescent="0.25">
      <c r="A8" s="8" t="s">
        <v>7</v>
      </c>
      <c r="B8" s="10">
        <f>'Income Statement'!B8/'Income Statement'!B4</f>
        <v>0.2</v>
      </c>
      <c r="C8" s="10">
        <f>'Income Statement'!G8/'Income Statement'!G4</f>
        <v>0.20000000000000007</v>
      </c>
      <c r="D8" s="11">
        <f>C8-B8</f>
        <v>0</v>
      </c>
    </row>
    <row r="9" spans="1:7" ht="15" customHeight="1" x14ac:dyDescent="0.25">
      <c r="A9" s="8" t="s">
        <v>8</v>
      </c>
      <c r="B9" s="10">
        <f>'Income Statement'!B14/'Income Statement'!B4</f>
        <v>0.1056</v>
      </c>
      <c r="C9" s="10">
        <f>'Income Statement'!G14/'Income Statement'!G4</f>
        <v>0.11019960196271401</v>
      </c>
      <c r="D9" s="11">
        <f>C9-B9</f>
        <v>4.5996019627140144E-3</v>
      </c>
    </row>
    <row r="10" spans="1:7" ht="15" customHeight="1" x14ac:dyDescent="0.25">
      <c r="A10" s="8" t="s">
        <v>9</v>
      </c>
      <c r="B10" s="9">
        <f>'Balance Sheet'!B4</f>
        <v>15000</v>
      </c>
      <c r="C10" s="9">
        <f>'Balance Sheet'!G4</f>
        <v>71267.553479189082</v>
      </c>
      <c r="D10" s="10">
        <f>(C10/B10)^(1/5)-1</f>
        <v>0.36571512215553881</v>
      </c>
    </row>
    <row r="11" spans="1:7" ht="15" customHeight="1" x14ac:dyDescent="0.25">
      <c r="A11" s="4" t="s">
        <v>10</v>
      </c>
    </row>
    <row r="13" spans="1:7" ht="15" customHeight="1" x14ac:dyDescent="0.25">
      <c r="A13" s="5" t="s">
        <v>11</v>
      </c>
      <c r="B13" s="6"/>
      <c r="C13" s="6"/>
      <c r="D13" s="6"/>
      <c r="E13" s="6"/>
      <c r="F13" s="6"/>
      <c r="G13" s="6"/>
    </row>
    <row r="14" spans="1:7" ht="15" customHeight="1" x14ac:dyDescent="0.25">
      <c r="B14" s="12" t="s">
        <v>2</v>
      </c>
      <c r="C14" s="12" t="s">
        <v>12</v>
      </c>
      <c r="D14" s="12" t="s">
        <v>13</v>
      </c>
      <c r="E14" s="12" t="s">
        <v>14</v>
      </c>
      <c r="F14" s="12" t="s">
        <v>15</v>
      </c>
      <c r="G14" s="12" t="s">
        <v>3</v>
      </c>
    </row>
    <row r="15" spans="1:7" ht="15" customHeight="1" x14ac:dyDescent="0.25">
      <c r="A15" s="8" t="s">
        <v>5</v>
      </c>
      <c r="B15" s="9">
        <f>'Income Statement'!B4</f>
        <v>100000</v>
      </c>
      <c r="C15" s="9">
        <f>'Income Statement'!C4</f>
        <v>108000</v>
      </c>
      <c r="D15" s="9">
        <f>'Income Statement'!D4</f>
        <v>116640.00000000001</v>
      </c>
      <c r="E15" s="9">
        <f>'Income Statement'!E4</f>
        <v>125971.20000000003</v>
      </c>
      <c r="F15" s="9">
        <f>'Income Statement'!F4</f>
        <v>136048.89600000004</v>
      </c>
      <c r="G15" s="9">
        <f>'Income Statement'!G4</f>
        <v>146932.80768000006</v>
      </c>
    </row>
    <row r="16" spans="1:7" ht="15" customHeight="1" x14ac:dyDescent="0.25">
      <c r="A16" s="8" t="s">
        <v>6</v>
      </c>
      <c r="B16" s="9">
        <f>'Income Statement'!B14</f>
        <v>10560</v>
      </c>
      <c r="C16" s="9">
        <f>'Income Statement'!C14</f>
        <v>11520</v>
      </c>
      <c r="D16" s="9">
        <f>'Income Statement'!D14</f>
        <v>12556.800000000008</v>
      </c>
      <c r="E16" s="9">
        <f>'Income Statement'!E14</f>
        <v>13676.544000000004</v>
      </c>
      <c r="F16" s="9">
        <f>'Income Statement'!F14</f>
        <v>14885.867520000011</v>
      </c>
      <c r="G16" s="9">
        <f>'Income Statement'!G14</f>
        <v>16191.936921600014</v>
      </c>
    </row>
    <row r="34" spans="1:7" ht="15" customHeight="1" x14ac:dyDescent="0.25">
      <c r="A34" s="5" t="s">
        <v>16</v>
      </c>
      <c r="B34" s="6"/>
      <c r="C34" s="6"/>
      <c r="D34" s="6"/>
    </row>
    <row r="35" spans="1:7" ht="15" customHeight="1" x14ac:dyDescent="0.25">
      <c r="B35" s="7" t="s">
        <v>17</v>
      </c>
      <c r="C35" s="7" t="s">
        <v>18</v>
      </c>
      <c r="D35" s="7" t="s">
        <v>19</v>
      </c>
    </row>
    <row r="36" spans="1:7" ht="15" customHeight="1" x14ac:dyDescent="0.25">
      <c r="A36" s="8" t="s">
        <v>5</v>
      </c>
      <c r="B36" s="9">
        <f>Assumptions!$B$23*(1+Assumptions!$C$7)^5</f>
        <v>146932.80768000003</v>
      </c>
      <c r="C36" s="9">
        <f>Assumptions!$B$23*(1+Assumptions!$D$7)^5</f>
        <v>201135.71874999994</v>
      </c>
      <c r="D36" s="9">
        <f>Assumptions!$B$23*(1+Assumptions!$E$7)^5</f>
        <v>110408.08032000001</v>
      </c>
    </row>
    <row r="37" spans="1:7" ht="15" customHeight="1" x14ac:dyDescent="0.25">
      <c r="A37" s="8" t="s">
        <v>6</v>
      </c>
      <c r="B37" s="9">
        <f>((((((((((Assumptions!$B$23*(1+Assumptions!$C$7)^5)-((Assumptions!$B$23*(1+Assumptions!$C$7)^5)*Assumptions!$C$8)))-((Assumptions!$B$23*(1+Assumptions!$C$7)^5)*Assumptions!$C$9)))-((Assumptions!$B$23*(1+Assumptions!$C$7)^5)*Assumptions!$C$10)))-(Assumptions!$B$26*Assumptions!$C$12)))-(((((((((((Assumptions!$B$23*(1+Assumptions!$C$7)^5)-((Assumptions!$B$23*(1+Assumptions!$C$7)^5)*Assumptions!$C$8)))-((Assumptions!$B$23*(1+Assumptions!$C$7)^5)*Assumptions!$C$9)))-((Assumptions!$B$23*(1+Assumptions!$C$7)^5)*Assumptions!$C$10)))-(Assumptions!$B$26*Assumptions!$C$12)))*Assumptions!$C$11)))</f>
        <v>16191.936921600005</v>
      </c>
      <c r="C37" s="9">
        <f>((((((((((Assumptions!$B$23*(1+Assumptions!$D$7)^5)-((Assumptions!$B$23*(1+Assumptions!$D$7)^5)*Assumptions!$D$8)))-((Assumptions!$B$23*(1+Assumptions!$D$7)^5)*Assumptions!$D$9)))-((Assumptions!$B$23*(1+Assumptions!$D$7)^5)*Assumptions!$D$10)))-(Assumptions!$B$26*Assumptions!$D$12)))-(((((((((((Assumptions!$B$23*(1+Assumptions!$D$7)^5)-((Assumptions!$B$23*(1+Assumptions!$D$7)^5)*Assumptions!$D$8)))-((Assumptions!$B$23*(1+Assumptions!$D$7)^5)*Assumptions!$D$9)))-((Assumptions!$B$23*(1+Assumptions!$D$7)^5)*Assumptions!$D$10)))-(Assumptions!$B$26*Assumptions!$D$12)))*Assumptions!$D$11)))</f>
        <v>29132.629250000005</v>
      </c>
      <c r="D37" s="9">
        <f>((((((((((Assumptions!$B$23*(1+Assumptions!$E$7)^5)-((Assumptions!$B$23*(1+Assumptions!$E$7)^5)*Assumptions!$E$8)))-((Assumptions!$B$23*(1+Assumptions!$E$7)^5)*Assumptions!$E$9)))-((Assumptions!$B$23*(1+Assumptions!$E$7)^5)*Assumptions!$E$10)))-(Assumptions!$B$26*Assumptions!$E$12)))-(((((((((((Assumptions!$B$23*(1+Assumptions!$E$7)^5)-((Assumptions!$B$23*(1+Assumptions!$E$7)^5)*Assumptions!$E$8)))-((Assumptions!$B$23*(1+Assumptions!$E$7)^5)*Assumptions!$E$9)))-((Assumptions!$B$23*(1+Assumptions!$E$7)^5)*Assumptions!$E$10)))-(Assumptions!$B$26*Assumptions!$E$12)))*Assumptions!$E$11)))</f>
        <v>3859.5878553600023</v>
      </c>
    </row>
    <row r="38" spans="1:7" ht="15" customHeight="1" x14ac:dyDescent="0.25">
      <c r="A38" s="8" t="s">
        <v>8</v>
      </c>
      <c r="B38" s="10">
        <f>(((((((((((Assumptions!$B$23*(1+Assumptions!$C$7)^5)-((Assumptions!$B$23*(1+Assumptions!$C$7)^5)*Assumptions!$C$8)))-((Assumptions!$B$23*(1+Assumptions!$C$7)^5)*Assumptions!$C$9)))-((Assumptions!$B$23*(1+Assumptions!$C$7)^5)*Assumptions!$C$10)))-(Assumptions!$B$26*Assumptions!$C$12)))-(((((((((((Assumptions!$B$23*(1+Assumptions!$C$7)^5)-((Assumptions!$B$23*(1+Assumptions!$C$7)^5)*Assumptions!$C$8)))-((Assumptions!$B$23*(1+Assumptions!$C$7)^5)*Assumptions!$C$9)))-((Assumptions!$B$23*(1+Assumptions!$C$7)^5)*Assumptions!$C$10)))-(Assumptions!$B$26*Assumptions!$C$12)))*Assumptions!$C$11))))/(Assumptions!$B$23*(1+Assumptions!$C$7)^5)</f>
        <v>0.11019960196271397</v>
      </c>
      <c r="C38" s="10">
        <f>(((((((((((Assumptions!$B$23*(1+Assumptions!$D$7)^5)-((Assumptions!$B$23*(1+Assumptions!$D$7)^5)*Assumptions!$D$8)))-((Assumptions!$B$23*(1+Assumptions!$D$7)^5)*Assumptions!$D$9)))-((Assumptions!$B$23*(1+Assumptions!$D$7)^5)*Assumptions!$D$10)))-(Assumptions!$B$26*Assumptions!$D$12)))-(((((((((((Assumptions!$B$23*(1+Assumptions!$D$7)^5)-((Assumptions!$B$23*(1+Assumptions!$D$7)^5)*Assumptions!$D$8)))-((Assumptions!$B$23*(1+Assumptions!$D$7)^5)*Assumptions!$D$9)))-((Assumptions!$B$23*(1+Assumptions!$D$7)^5)*Assumptions!$D$10)))-(Assumptions!$B$26*Assumptions!$D$12)))*Assumptions!$D$11))))/(Assumptions!$B$23*(1+Assumptions!$D$7)^5)</f>
        <v>0.14484065501170471</v>
      </c>
      <c r="D38" s="10">
        <f>(((((((((((Assumptions!$B$23*(1+Assumptions!$E$7)^5)-((Assumptions!$B$23*(1+Assumptions!$E$7)^5)*Assumptions!$E$8)))-((Assumptions!$B$23*(1+Assumptions!$E$7)^5)*Assumptions!$E$9)))-((Assumptions!$B$23*(1+Assumptions!$E$7)^5)*Assumptions!$E$10)))-(Assumptions!$B$26*Assumptions!$E$12)))-(((((((((((Assumptions!$B$23*(1+Assumptions!$E$7)^5)-((Assumptions!$B$23*(1+Assumptions!$E$7)^5)*Assumptions!$E$8)))-((Assumptions!$B$23*(1+Assumptions!$E$7)^5)*Assumptions!$E$9)))-((Assumptions!$B$23*(1+Assumptions!$E$7)^5)*Assumptions!$E$10)))-(Assumptions!$B$26*Assumptions!$E$12)))*Assumptions!$E$11))))/(Assumptions!$B$23*(1+Assumptions!$E$7)^5)</f>
        <v>3.4957476338449228E-2</v>
      </c>
    </row>
    <row r="40" spans="1:7" ht="15" customHeight="1" x14ac:dyDescent="0.25">
      <c r="A40" s="2" t="s">
        <v>20</v>
      </c>
      <c r="B40" s="2"/>
      <c r="C40" s="2"/>
      <c r="D40" s="2"/>
      <c r="E40" s="2"/>
      <c r="F40" s="2"/>
      <c r="G40" s="2"/>
    </row>
    <row r="41" spans="1:7" ht="15" customHeight="1" x14ac:dyDescent="0.25">
      <c r="A41" s="2"/>
      <c r="B41" s="2"/>
      <c r="C41" s="2"/>
      <c r="D41" s="2"/>
      <c r="E41" s="2"/>
      <c r="F41" s="2"/>
      <c r="G41" s="2"/>
    </row>
    <row r="42" spans="1:7" ht="15" customHeight="1" x14ac:dyDescent="0.25">
      <c r="A42" s="2"/>
      <c r="B42" s="2"/>
      <c r="C42" s="2"/>
      <c r="D42" s="2"/>
      <c r="E42" s="2"/>
      <c r="F42" s="2"/>
      <c r="G42" s="2"/>
    </row>
  </sheetData>
  <mergeCells count="1">
    <mergeCell ref="A40:G4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showGridLines="0" zoomScaleNormal="100" workbookViewId="0">
      <pane xSplit="1" ySplit="4" topLeftCell="B17" activePane="bottomRight" state="frozen"/>
      <selection pane="topRight" activeCell="B1" sqref="B1"/>
      <selection pane="bottomLeft" activeCell="A5" sqref="A5"/>
      <selection pane="bottomRight"/>
    </sheetView>
  </sheetViews>
  <sheetFormatPr defaultColWidth="8.7109375" defaultRowHeight="15" x14ac:dyDescent="0.25"/>
  <cols>
    <col min="1" max="1" width="34" customWidth="1"/>
    <col min="2" max="5" width="12" customWidth="1"/>
    <col min="6" max="6" width="14" customWidth="1"/>
  </cols>
  <sheetData>
    <row r="1" spans="1:6" ht="18" customHeight="1" x14ac:dyDescent="0.25">
      <c r="A1" s="3" t="s">
        <v>21</v>
      </c>
      <c r="B1" s="8"/>
    </row>
    <row r="2" spans="1:6" ht="15" customHeight="1" x14ac:dyDescent="0.25">
      <c r="A2" s="4" t="s">
        <v>22</v>
      </c>
      <c r="B2" s="8"/>
    </row>
    <row r="3" spans="1:6" ht="15" customHeight="1" x14ac:dyDescent="0.25">
      <c r="A3" s="8"/>
      <c r="B3" s="8"/>
    </row>
    <row r="4" spans="1:6" ht="15" customHeight="1" x14ac:dyDescent="0.25">
      <c r="A4" s="14" t="s">
        <v>23</v>
      </c>
      <c r="B4" s="15" t="s">
        <v>17</v>
      </c>
    </row>
    <row r="5" spans="1:6" ht="15" customHeight="1" x14ac:dyDescent="0.25">
      <c r="A5" s="8"/>
      <c r="B5" s="8"/>
    </row>
    <row r="6" spans="1:6" ht="15" customHeight="1" x14ac:dyDescent="0.25">
      <c r="A6" s="5" t="s">
        <v>24</v>
      </c>
      <c r="B6" s="16"/>
      <c r="C6" s="17" t="s">
        <v>17</v>
      </c>
      <c r="D6" s="17" t="s">
        <v>18</v>
      </c>
      <c r="E6" s="17" t="s">
        <v>19</v>
      </c>
      <c r="F6" s="17" t="s">
        <v>25</v>
      </c>
    </row>
    <row r="7" spans="1:6" ht="15" customHeight="1" x14ac:dyDescent="0.25">
      <c r="A7" s="8" t="s">
        <v>26</v>
      </c>
      <c r="B7" s="18"/>
      <c r="C7" s="19">
        <v>0.08</v>
      </c>
      <c r="D7" s="19">
        <v>0.15</v>
      </c>
      <c r="E7" s="19">
        <v>0.02</v>
      </c>
      <c r="F7" s="20">
        <f t="shared" ref="F7:F12" si="0">INDEX(C7:E7,MATCH($B$4,$C$6:$E$6,0))</f>
        <v>0.08</v>
      </c>
    </row>
    <row r="8" spans="1:6" ht="15" customHeight="1" x14ac:dyDescent="0.25">
      <c r="A8" s="8" t="s">
        <v>27</v>
      </c>
      <c r="B8" s="18"/>
      <c r="C8" s="19">
        <v>0.6</v>
      </c>
      <c r="D8" s="19">
        <v>0.57999999999999996</v>
      </c>
      <c r="E8" s="19">
        <v>0.65</v>
      </c>
      <c r="F8" s="20">
        <f t="shared" si="0"/>
        <v>0.6</v>
      </c>
    </row>
    <row r="9" spans="1:6" ht="15" customHeight="1" x14ac:dyDescent="0.25">
      <c r="A9" s="8" t="s">
        <v>28</v>
      </c>
      <c r="B9" s="18"/>
      <c r="C9" s="19">
        <v>0.2</v>
      </c>
      <c r="D9" s="19">
        <v>0.18</v>
      </c>
      <c r="E9" s="19">
        <v>0.24</v>
      </c>
      <c r="F9" s="20">
        <f t="shared" si="0"/>
        <v>0.2</v>
      </c>
    </row>
    <row r="10" spans="1:6" ht="15" customHeight="1" x14ac:dyDescent="0.25">
      <c r="A10" s="8" t="s">
        <v>29</v>
      </c>
      <c r="B10" s="18"/>
      <c r="C10" s="19">
        <v>0.05</v>
      </c>
      <c r="D10" s="19">
        <v>0.05</v>
      </c>
      <c r="E10" s="19">
        <v>0.05</v>
      </c>
      <c r="F10" s="20">
        <f t="shared" si="0"/>
        <v>0.05</v>
      </c>
    </row>
    <row r="11" spans="1:6" ht="15" customHeight="1" x14ac:dyDescent="0.25">
      <c r="A11" s="8" t="s">
        <v>30</v>
      </c>
      <c r="B11" s="18"/>
      <c r="C11" s="19">
        <v>0.2</v>
      </c>
      <c r="D11" s="19">
        <v>0.2</v>
      </c>
      <c r="E11" s="19">
        <v>0.2</v>
      </c>
      <c r="F11" s="20">
        <f t="shared" si="0"/>
        <v>0.2</v>
      </c>
    </row>
    <row r="12" spans="1:6" ht="15" customHeight="1" x14ac:dyDescent="0.25">
      <c r="A12" s="8" t="s">
        <v>31</v>
      </c>
      <c r="B12" s="18"/>
      <c r="C12" s="19">
        <v>0.06</v>
      </c>
      <c r="D12" s="19">
        <v>0.06</v>
      </c>
      <c r="E12" s="19">
        <v>0.06</v>
      </c>
      <c r="F12" s="20">
        <f t="shared" si="0"/>
        <v>0.06</v>
      </c>
    </row>
    <row r="13" spans="1:6" ht="15" customHeight="1" x14ac:dyDescent="0.25">
      <c r="A13" s="8"/>
      <c r="B13" s="8"/>
    </row>
    <row r="14" spans="1:6" ht="15" customHeight="1" x14ac:dyDescent="0.25">
      <c r="A14" s="8"/>
      <c r="B14" s="8"/>
    </row>
    <row r="15" spans="1:6" ht="15" customHeight="1" x14ac:dyDescent="0.25">
      <c r="A15" s="5" t="s">
        <v>32</v>
      </c>
      <c r="B15" s="21"/>
      <c r="C15" s="6"/>
      <c r="D15" s="6"/>
      <c r="E15" s="6"/>
      <c r="F15" s="6"/>
    </row>
    <row r="16" spans="1:6" ht="15" customHeight="1" x14ac:dyDescent="0.25">
      <c r="A16" s="8" t="s">
        <v>33</v>
      </c>
      <c r="B16" s="22"/>
      <c r="C16" s="23">
        <v>30</v>
      </c>
      <c r="D16" s="23">
        <v>25</v>
      </c>
      <c r="E16" s="23">
        <v>35</v>
      </c>
      <c r="F16" s="24">
        <f>INDEX(C16:E16,MATCH($B$4,$C$6:$E$6,0))</f>
        <v>30</v>
      </c>
    </row>
    <row r="17" spans="1:6" ht="15" customHeight="1" x14ac:dyDescent="0.25">
      <c r="A17" s="8" t="s">
        <v>34</v>
      </c>
      <c r="B17" s="22"/>
      <c r="C17" s="23">
        <v>45</v>
      </c>
      <c r="D17" s="23">
        <v>40</v>
      </c>
      <c r="E17" s="23">
        <v>50</v>
      </c>
      <c r="F17" s="24">
        <f>INDEX(C17:E17,MATCH($B$4,$C$6:$E$6,0))</f>
        <v>45</v>
      </c>
    </row>
    <row r="18" spans="1:6" ht="15" customHeight="1" x14ac:dyDescent="0.25">
      <c r="A18" s="8" t="s">
        <v>35</v>
      </c>
      <c r="B18" s="8"/>
      <c r="C18" s="23">
        <v>40</v>
      </c>
      <c r="D18" s="23">
        <v>45</v>
      </c>
      <c r="E18" s="23">
        <v>35</v>
      </c>
      <c r="F18" s="24">
        <f>INDEX(C18:E18,MATCH($B$4,$C$6:$E$6,0))</f>
        <v>40</v>
      </c>
    </row>
    <row r="19" spans="1:6" ht="15" customHeight="1" x14ac:dyDescent="0.25">
      <c r="A19" s="8"/>
      <c r="B19" s="25"/>
    </row>
    <row r="20" spans="1:6" ht="15" customHeight="1" x14ac:dyDescent="0.25">
      <c r="A20" s="8" t="s">
        <v>36</v>
      </c>
      <c r="B20" s="8"/>
      <c r="C20" s="26">
        <v>8000</v>
      </c>
      <c r="D20" s="26">
        <v>10000</v>
      </c>
      <c r="E20" s="26">
        <v>6000</v>
      </c>
      <c r="F20" s="27">
        <f>INDEX(C20:E20,MATCH($B$4,$C$6:$E$6,0))</f>
        <v>8000</v>
      </c>
    </row>
    <row r="21" spans="1:6" ht="15" customHeight="1" x14ac:dyDescent="0.25">
      <c r="A21" s="8"/>
      <c r="B21" s="8"/>
    </row>
    <row r="22" spans="1:6" ht="15" customHeight="1" x14ac:dyDescent="0.25">
      <c r="A22" s="5" t="s">
        <v>37</v>
      </c>
      <c r="B22" s="28"/>
      <c r="C22" s="6"/>
      <c r="D22" s="6"/>
      <c r="E22" s="6"/>
      <c r="F22" s="6"/>
    </row>
    <row r="23" spans="1:6" ht="15" customHeight="1" x14ac:dyDescent="0.25">
      <c r="A23" s="8" t="s">
        <v>38</v>
      </c>
      <c r="B23" s="29">
        <v>100000</v>
      </c>
    </row>
    <row r="24" spans="1:6" ht="15" customHeight="1" x14ac:dyDescent="0.25">
      <c r="A24" s="8" t="s">
        <v>39</v>
      </c>
      <c r="B24" s="29">
        <v>15000</v>
      </c>
    </row>
    <row r="25" spans="1:6" ht="15" customHeight="1" x14ac:dyDescent="0.25">
      <c r="A25" s="8" t="s">
        <v>40</v>
      </c>
      <c r="B25" s="29">
        <v>40000</v>
      </c>
    </row>
    <row r="26" spans="1:6" ht="15" customHeight="1" x14ac:dyDescent="0.25">
      <c r="A26" s="8" t="s">
        <v>41</v>
      </c>
      <c r="B26" s="29">
        <v>30000</v>
      </c>
    </row>
    <row r="27" spans="1:6" ht="45" customHeight="1" x14ac:dyDescent="0.25">
      <c r="A27" s="30" t="s">
        <v>42</v>
      </c>
      <c r="B27" s="31">
        <v>0</v>
      </c>
    </row>
    <row r="28" spans="1:6" ht="15" customHeight="1" x14ac:dyDescent="0.25">
      <c r="A28" s="1" t="s">
        <v>43</v>
      </c>
      <c r="B28" s="1"/>
      <c r="C28" s="1"/>
      <c r="D28" s="1"/>
      <c r="E28" s="1"/>
      <c r="F28" s="1"/>
    </row>
    <row r="29" spans="1:6" ht="15" customHeight="1" x14ac:dyDescent="0.25">
      <c r="A29" s="1"/>
      <c r="B29" s="1"/>
      <c r="C29" s="1"/>
      <c r="D29" s="1"/>
      <c r="E29" s="1"/>
      <c r="F29" s="1"/>
    </row>
    <row r="30" spans="1:6" ht="15" customHeight="1" x14ac:dyDescent="0.25">
      <c r="A30" s="1"/>
      <c r="B30" s="1"/>
      <c r="C30" s="1"/>
      <c r="D30" s="1"/>
      <c r="E30" s="1"/>
      <c r="F30" s="1"/>
    </row>
    <row r="31" spans="1:6" ht="15" customHeight="1" x14ac:dyDescent="0.25">
      <c r="A31" s="1"/>
      <c r="B31" s="1"/>
      <c r="C31" s="1"/>
      <c r="D31" s="1"/>
      <c r="E31" s="1"/>
      <c r="F31" s="1"/>
    </row>
  </sheetData>
  <mergeCells count="1">
    <mergeCell ref="A28:F31"/>
  </mergeCells>
  <dataValidations count="1">
    <dataValidation type="list" sqref="B4" xr:uid="{00000000-0002-0000-0100-000000000000}">
      <formula1>"Base,Upside,Downside"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22" customWidth="1"/>
    <col min="2" max="7" width="12" customWidth="1"/>
  </cols>
  <sheetData>
    <row r="1" spans="1:7" ht="18" customHeight="1" x14ac:dyDescent="0.25">
      <c r="A1" s="3" t="s">
        <v>44</v>
      </c>
      <c r="B1" s="8"/>
      <c r="C1" s="8"/>
      <c r="D1" s="8"/>
    </row>
    <row r="2" spans="1:7" ht="15" customHeight="1" x14ac:dyDescent="0.25">
      <c r="A2" s="8"/>
      <c r="B2" s="8"/>
      <c r="C2" s="8"/>
      <c r="D2" s="8"/>
    </row>
    <row r="3" spans="1:7" ht="15" customHeight="1" x14ac:dyDescent="0.25">
      <c r="A3" s="14" t="s">
        <v>45</v>
      </c>
      <c r="B3" s="12" t="s">
        <v>2</v>
      </c>
      <c r="C3" s="12" t="s">
        <v>12</v>
      </c>
      <c r="D3" s="12" t="s">
        <v>13</v>
      </c>
      <c r="E3" s="12" t="s">
        <v>14</v>
      </c>
      <c r="F3" s="12" t="s">
        <v>15</v>
      </c>
      <c r="G3" s="12" t="s">
        <v>3</v>
      </c>
    </row>
    <row r="4" spans="1:7" ht="15" customHeight="1" x14ac:dyDescent="0.25">
      <c r="A4" s="14" t="s">
        <v>5</v>
      </c>
      <c r="B4" s="32">
        <f>Assumptions!B23</f>
        <v>100000</v>
      </c>
      <c r="C4" s="32">
        <f>B4*(1+Assumptions!$F$7)</f>
        <v>108000</v>
      </c>
      <c r="D4" s="32">
        <f>C4*(1+Assumptions!$F$7)</f>
        <v>116640.00000000001</v>
      </c>
      <c r="E4" s="32">
        <f>D4*(1+Assumptions!$F$7)</f>
        <v>125971.20000000003</v>
      </c>
      <c r="F4" s="32">
        <f>E4*(1+Assumptions!$F$7)</f>
        <v>136048.89600000004</v>
      </c>
      <c r="G4" s="32">
        <f>F4*(1+Assumptions!$F$7)</f>
        <v>146932.80768000006</v>
      </c>
    </row>
    <row r="5" spans="1:7" ht="15" customHeight="1" x14ac:dyDescent="0.25">
      <c r="A5" s="8" t="s">
        <v>46</v>
      </c>
      <c r="B5" s="9">
        <f>B4*Assumptions!$C$8</f>
        <v>60000</v>
      </c>
      <c r="C5" s="9">
        <f>C4*Assumptions!$F$8</f>
        <v>64800</v>
      </c>
      <c r="D5" s="9">
        <f>D4*Assumptions!$F$8</f>
        <v>69984</v>
      </c>
      <c r="E5" s="9">
        <f>E4*Assumptions!$F$8</f>
        <v>75582.720000000016</v>
      </c>
      <c r="F5" s="9">
        <f>F4*Assumptions!$F$8</f>
        <v>81629.337600000013</v>
      </c>
      <c r="G5" s="9">
        <f>G4*Assumptions!$F$8</f>
        <v>88159.684608000025</v>
      </c>
    </row>
    <row r="6" spans="1:7" ht="15" customHeight="1" x14ac:dyDescent="0.25">
      <c r="A6" s="33" t="s">
        <v>47</v>
      </c>
      <c r="B6" s="34">
        <f t="shared" ref="B6:G6" si="0">B4-B5</f>
        <v>40000</v>
      </c>
      <c r="C6" s="34">
        <f t="shared" si="0"/>
        <v>43200</v>
      </c>
      <c r="D6" s="34">
        <f t="shared" si="0"/>
        <v>46656.000000000015</v>
      </c>
      <c r="E6" s="34">
        <f t="shared" si="0"/>
        <v>50388.48000000001</v>
      </c>
      <c r="F6" s="34">
        <f t="shared" si="0"/>
        <v>54419.558400000024</v>
      </c>
      <c r="G6" s="34">
        <f t="shared" si="0"/>
        <v>58773.123072000031</v>
      </c>
    </row>
    <row r="7" spans="1:7" ht="15" customHeight="1" x14ac:dyDescent="0.25">
      <c r="A7" s="8" t="s">
        <v>48</v>
      </c>
      <c r="B7" s="9">
        <f>B4*Assumptions!$C$9</f>
        <v>20000</v>
      </c>
      <c r="C7" s="9">
        <f>C4*Assumptions!$F$9</f>
        <v>21600</v>
      </c>
      <c r="D7" s="9">
        <f>D4*Assumptions!$F$9</f>
        <v>23328.000000000004</v>
      </c>
      <c r="E7" s="9">
        <f>E4*Assumptions!$F$9</f>
        <v>25194.240000000005</v>
      </c>
      <c r="F7" s="9">
        <f>F4*Assumptions!$F$9</f>
        <v>27209.779200000008</v>
      </c>
      <c r="G7" s="9">
        <f>G4*Assumptions!$F$9</f>
        <v>29386.561536000012</v>
      </c>
    </row>
    <row r="8" spans="1:7" ht="15" customHeight="1" x14ac:dyDescent="0.25">
      <c r="A8" s="33" t="s">
        <v>49</v>
      </c>
      <c r="B8" s="34">
        <f t="shared" ref="B8:G8" si="1">B6-B7</f>
        <v>20000</v>
      </c>
      <c r="C8" s="34">
        <f t="shared" si="1"/>
        <v>21600</v>
      </c>
      <c r="D8" s="34">
        <f t="shared" si="1"/>
        <v>23328.000000000011</v>
      </c>
      <c r="E8" s="34">
        <f t="shared" si="1"/>
        <v>25194.240000000005</v>
      </c>
      <c r="F8" s="34">
        <f t="shared" si="1"/>
        <v>27209.779200000015</v>
      </c>
      <c r="G8" s="34">
        <f t="shared" si="1"/>
        <v>29386.561536000019</v>
      </c>
    </row>
    <row r="9" spans="1:7" ht="15" customHeight="1" x14ac:dyDescent="0.25">
      <c r="A9" s="8" t="s">
        <v>50</v>
      </c>
      <c r="B9" s="9">
        <f>B4*Assumptions!$C$10</f>
        <v>5000</v>
      </c>
      <c r="C9" s="9">
        <f>C4*Assumptions!$F$10</f>
        <v>5400</v>
      </c>
      <c r="D9" s="9">
        <f>D4*Assumptions!$F$10</f>
        <v>5832.0000000000009</v>
      </c>
      <c r="E9" s="9">
        <f>E4*Assumptions!$F$10</f>
        <v>6298.5600000000013</v>
      </c>
      <c r="F9" s="9">
        <f>F4*Assumptions!$F$10</f>
        <v>6802.444800000002</v>
      </c>
      <c r="G9" s="9">
        <f>G4*Assumptions!$F$10</f>
        <v>7346.640384000003</v>
      </c>
    </row>
    <row r="10" spans="1:7" ht="15" customHeight="1" x14ac:dyDescent="0.25">
      <c r="A10" s="33" t="s">
        <v>51</v>
      </c>
      <c r="B10" s="34">
        <f t="shared" ref="B10:G10" si="2">B8-B9</f>
        <v>15000</v>
      </c>
      <c r="C10" s="34">
        <f t="shared" si="2"/>
        <v>16200</v>
      </c>
      <c r="D10" s="34">
        <f t="shared" si="2"/>
        <v>17496.000000000011</v>
      </c>
      <c r="E10" s="34">
        <f t="shared" si="2"/>
        <v>18895.680000000004</v>
      </c>
      <c r="F10" s="34">
        <f t="shared" si="2"/>
        <v>20407.334400000014</v>
      </c>
      <c r="G10" s="34">
        <f t="shared" si="2"/>
        <v>22039.921152000017</v>
      </c>
    </row>
    <row r="11" spans="1:7" ht="15" customHeight="1" x14ac:dyDescent="0.25">
      <c r="A11" s="8" t="s">
        <v>52</v>
      </c>
      <c r="B11" s="9">
        <f>Assumptions!$B$26*Assumptions!$C$12</f>
        <v>1800</v>
      </c>
      <c r="C11" s="9">
        <f>Assumptions!$B$26*Assumptions!$F$12</f>
        <v>1800</v>
      </c>
      <c r="D11" s="9">
        <f>Assumptions!$B$26*Assumptions!$F$12</f>
        <v>1800</v>
      </c>
      <c r="E11" s="9">
        <f>Assumptions!$B$26*Assumptions!$F$12</f>
        <v>1800</v>
      </c>
      <c r="F11" s="9">
        <f>Assumptions!$B$26*Assumptions!$F$12</f>
        <v>1800</v>
      </c>
      <c r="G11" s="9">
        <f>Assumptions!$B$26*Assumptions!$F$12</f>
        <v>1800</v>
      </c>
    </row>
    <row r="12" spans="1:7" ht="15" customHeight="1" x14ac:dyDescent="0.25">
      <c r="A12" s="33" t="s">
        <v>53</v>
      </c>
      <c r="B12" s="34">
        <f t="shared" ref="B12:G12" si="3">B10-B11</f>
        <v>13200</v>
      </c>
      <c r="C12" s="34">
        <f t="shared" si="3"/>
        <v>14400</v>
      </c>
      <c r="D12" s="34">
        <f t="shared" si="3"/>
        <v>15696.000000000011</v>
      </c>
      <c r="E12" s="34">
        <f t="shared" si="3"/>
        <v>17095.680000000004</v>
      </c>
      <c r="F12" s="34">
        <f t="shared" si="3"/>
        <v>18607.334400000014</v>
      </c>
      <c r="G12" s="34">
        <f t="shared" si="3"/>
        <v>20239.921152000017</v>
      </c>
    </row>
    <row r="13" spans="1:7" ht="15" customHeight="1" x14ac:dyDescent="0.25">
      <c r="A13" s="8" t="s">
        <v>54</v>
      </c>
      <c r="B13" s="9">
        <f>B12*Assumptions!$C$11</f>
        <v>2640</v>
      </c>
      <c r="C13" s="9">
        <f>C12*Assumptions!$F$11</f>
        <v>2880</v>
      </c>
      <c r="D13" s="9">
        <f>D12*Assumptions!$F$11</f>
        <v>3139.2000000000025</v>
      </c>
      <c r="E13" s="9">
        <f>E12*Assumptions!$F$11</f>
        <v>3419.1360000000009</v>
      </c>
      <c r="F13" s="9">
        <f>F12*Assumptions!$F$11</f>
        <v>3721.4668800000031</v>
      </c>
      <c r="G13" s="9">
        <f>G12*Assumptions!$F$11</f>
        <v>4047.9842304000035</v>
      </c>
    </row>
    <row r="14" spans="1:7" ht="15" customHeight="1" x14ac:dyDescent="0.25">
      <c r="A14" s="33" t="s">
        <v>6</v>
      </c>
      <c r="B14" s="34">
        <f t="shared" ref="B14:G14" si="4">B12-B13</f>
        <v>10560</v>
      </c>
      <c r="C14" s="34">
        <f t="shared" si="4"/>
        <v>11520</v>
      </c>
      <c r="D14" s="34">
        <f t="shared" si="4"/>
        <v>12556.800000000008</v>
      </c>
      <c r="E14" s="34">
        <f t="shared" si="4"/>
        <v>13676.544000000004</v>
      </c>
      <c r="F14" s="34">
        <f t="shared" si="4"/>
        <v>14885.867520000011</v>
      </c>
      <c r="G14" s="34">
        <f t="shared" si="4"/>
        <v>16191.936921600014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24" customWidth="1"/>
    <col min="2" max="7" width="12" customWidth="1"/>
  </cols>
  <sheetData>
    <row r="1" spans="1:7" ht="18" customHeight="1" x14ac:dyDescent="0.25">
      <c r="A1" s="3" t="s">
        <v>55</v>
      </c>
      <c r="B1" s="8"/>
      <c r="C1" s="8"/>
      <c r="D1" s="8"/>
    </row>
    <row r="2" spans="1:7" ht="15" customHeight="1" x14ac:dyDescent="0.25">
      <c r="A2" s="8"/>
      <c r="B2" s="8"/>
      <c r="C2" s="8"/>
      <c r="D2" s="8"/>
    </row>
    <row r="3" spans="1:7" ht="15" customHeight="1" x14ac:dyDescent="0.25">
      <c r="A3" s="14" t="s">
        <v>45</v>
      </c>
      <c r="B3" s="12" t="s">
        <v>2</v>
      </c>
      <c r="C3" s="12" t="s">
        <v>12</v>
      </c>
      <c r="D3" s="12" t="s">
        <v>13</v>
      </c>
      <c r="E3" s="12" t="s">
        <v>14</v>
      </c>
      <c r="F3" s="12" t="s">
        <v>15</v>
      </c>
      <c r="G3" s="12" t="s">
        <v>3</v>
      </c>
    </row>
    <row r="4" spans="1:7" ht="15" customHeight="1" x14ac:dyDescent="0.25">
      <c r="A4" s="8" t="s">
        <v>56</v>
      </c>
      <c r="B4" s="35">
        <f>Assumptions!B24</f>
        <v>15000</v>
      </c>
      <c r="C4" s="9">
        <f>'Cash Flow Statement'!C16</f>
        <v>23196.71232876712</v>
      </c>
      <c r="D4" s="9">
        <f>'Cash Flow Statement'!D16</f>
        <v>32804.361643835626</v>
      </c>
      <c r="E4" s="9">
        <f>'Cash Flow Statement'!E16</f>
        <v>43935.822904109606</v>
      </c>
      <c r="F4" s="9">
        <f>'Cash Flow Statement'!F16</f>
        <v>56713.001065205506</v>
      </c>
      <c r="G4" s="9">
        <f>'Cash Flow Statement'!G16</f>
        <v>71267.553479189082</v>
      </c>
    </row>
    <row r="5" spans="1:7" ht="15" customHeight="1" x14ac:dyDescent="0.25">
      <c r="A5" s="8" t="s">
        <v>57</v>
      </c>
      <c r="B5" s="9">
        <f>'Income Statement'!B4/365*Assumptions!$C$16</f>
        <v>8219.17808219178</v>
      </c>
      <c r="C5" s="9">
        <f>'Income Statement'!C4/365*Assumptions!$F$16</f>
        <v>8876.7123287671238</v>
      </c>
      <c r="D5" s="9">
        <f>'Income Statement'!D4/365*Assumptions!$F$16</f>
        <v>9586.8493150684935</v>
      </c>
      <c r="E5" s="9">
        <f>'Income Statement'!E4/365*Assumptions!$F$16</f>
        <v>10353.797260273974</v>
      </c>
      <c r="F5" s="9">
        <f>'Income Statement'!F4/365*Assumptions!$F$16</f>
        <v>11182.101041095893</v>
      </c>
      <c r="G5" s="9">
        <f>'Income Statement'!G4/365*Assumptions!$F$16</f>
        <v>12076.669124383567</v>
      </c>
    </row>
    <row r="6" spans="1:7" ht="15" customHeight="1" x14ac:dyDescent="0.25">
      <c r="A6" s="8" t="s">
        <v>58</v>
      </c>
      <c r="B6" s="9">
        <f>'Income Statement'!B5/365*Assumptions!$C$17</f>
        <v>7397.2602739726026</v>
      </c>
      <c r="C6" s="9">
        <f>'Income Statement'!C5/365*Assumptions!$F$17</f>
        <v>7989.0410958904113</v>
      </c>
      <c r="D6" s="9">
        <f>'Income Statement'!D5/365*Assumptions!$F$17</f>
        <v>8628.1643835616433</v>
      </c>
      <c r="E6" s="9">
        <f>'Income Statement'!E5/365*Assumptions!$F$17</f>
        <v>9318.4175342465769</v>
      </c>
      <c r="F6" s="9">
        <f>'Income Statement'!F5/365*Assumptions!$F$17</f>
        <v>10063.890936986303</v>
      </c>
      <c r="G6" s="9">
        <f>'Income Statement'!G5/365*Assumptions!$F$17</f>
        <v>10869.002211945208</v>
      </c>
    </row>
    <row r="7" spans="1:7" ht="15" customHeight="1" x14ac:dyDescent="0.25">
      <c r="A7" s="33" t="s">
        <v>59</v>
      </c>
      <c r="B7" s="34">
        <f t="shared" ref="B7:G7" si="0">SUM(B4:B6)</f>
        <v>30616.438356164381</v>
      </c>
      <c r="C7" s="34">
        <f t="shared" si="0"/>
        <v>40062.465753424658</v>
      </c>
      <c r="D7" s="34">
        <f t="shared" si="0"/>
        <v>51019.375342465763</v>
      </c>
      <c r="E7" s="34">
        <f t="shared" si="0"/>
        <v>63608.037698630156</v>
      </c>
      <c r="F7" s="34">
        <f t="shared" si="0"/>
        <v>77958.993043287715</v>
      </c>
      <c r="G7" s="34">
        <f t="shared" si="0"/>
        <v>94213.224815517853</v>
      </c>
    </row>
    <row r="8" spans="1:7" ht="15" customHeight="1" x14ac:dyDescent="0.25">
      <c r="A8" s="8" t="s">
        <v>60</v>
      </c>
      <c r="B8" s="35">
        <f>Assumptions!B25</f>
        <v>40000</v>
      </c>
      <c r="C8" s="9">
        <f>B8+Assumptions!$F$20-'Income Statement'!C9</f>
        <v>42600</v>
      </c>
      <c r="D8" s="9">
        <f>C8+Assumptions!$F$20-'Income Statement'!D9</f>
        <v>44768</v>
      </c>
      <c r="E8" s="9">
        <f>D8+Assumptions!$F$20-'Income Statement'!E9</f>
        <v>46469.440000000002</v>
      </c>
      <c r="F8" s="9">
        <f>E8+Assumptions!$F$20-'Income Statement'!F9</f>
        <v>47666.995199999998</v>
      </c>
      <c r="G8" s="9">
        <f>F8+Assumptions!$F$20-'Income Statement'!G9</f>
        <v>48320.354815999992</v>
      </c>
    </row>
    <row r="9" spans="1:7" ht="15" customHeight="1" x14ac:dyDescent="0.25">
      <c r="A9" s="33" t="s">
        <v>61</v>
      </c>
      <c r="B9" s="34">
        <f t="shared" ref="B9:G9" si="1">B7+B8</f>
        <v>70616.438356164377</v>
      </c>
      <c r="C9" s="34">
        <f t="shared" si="1"/>
        <v>82662.465753424651</v>
      </c>
      <c r="D9" s="34">
        <f t="shared" si="1"/>
        <v>95787.375342465763</v>
      </c>
      <c r="E9" s="34">
        <f t="shared" si="1"/>
        <v>110077.47769863016</v>
      </c>
      <c r="F9" s="34">
        <f t="shared" si="1"/>
        <v>125625.98824328772</v>
      </c>
      <c r="G9" s="34">
        <f t="shared" si="1"/>
        <v>142533.57963151784</v>
      </c>
    </row>
    <row r="10" spans="1:7" ht="15" customHeight="1" x14ac:dyDescent="0.25">
      <c r="A10" s="8"/>
      <c r="B10" s="8"/>
      <c r="C10" s="8"/>
      <c r="D10" s="8"/>
    </row>
    <row r="11" spans="1:7" ht="15" customHeight="1" x14ac:dyDescent="0.25">
      <c r="A11" s="8" t="s">
        <v>62</v>
      </c>
      <c r="B11" s="9">
        <f>'Income Statement'!B5/365*Assumptions!$C$18</f>
        <v>6575.3424657534242</v>
      </c>
      <c r="C11" s="9">
        <f>'Income Statement'!C5/365*Assumptions!$F$18</f>
        <v>7101.3698630136987</v>
      </c>
      <c r="D11" s="9">
        <f>'Income Statement'!D5/365*Assumptions!$F$18</f>
        <v>7669.4794520547939</v>
      </c>
      <c r="E11" s="9">
        <f>'Income Statement'!E5/365*Assumptions!$F$18</f>
        <v>8283.0378082191801</v>
      </c>
      <c r="F11" s="9">
        <f>'Income Statement'!F5/365*Assumptions!$F$18</f>
        <v>8945.6808328767129</v>
      </c>
      <c r="G11" s="9">
        <f>'Income Statement'!G5/365*Assumptions!$F$18</f>
        <v>9661.3352995068526</v>
      </c>
    </row>
    <row r="12" spans="1:7" ht="15" customHeight="1" x14ac:dyDescent="0.25">
      <c r="A12" s="8" t="s">
        <v>63</v>
      </c>
      <c r="B12" s="9">
        <f>Assumptions!$B$26*Assumptions!$B$27</f>
        <v>0</v>
      </c>
      <c r="C12" s="9">
        <f>Assumptions!$B$26*Assumptions!$B$27</f>
        <v>0</v>
      </c>
      <c r="D12" s="9">
        <f>Assumptions!$B$26*Assumptions!$B$27</f>
        <v>0</v>
      </c>
      <c r="E12" s="9">
        <f>Assumptions!$B$26*Assumptions!$B$27</f>
        <v>0</v>
      </c>
      <c r="F12" s="9">
        <f>Assumptions!$B$26*Assumptions!$B$27</f>
        <v>0</v>
      </c>
      <c r="G12" s="9">
        <f>Assumptions!$B$26*Assumptions!$B$27</f>
        <v>0</v>
      </c>
    </row>
    <row r="13" spans="1:7" ht="15" customHeight="1" x14ac:dyDescent="0.25">
      <c r="A13" s="33" t="s">
        <v>64</v>
      </c>
      <c r="B13" s="34">
        <f t="shared" ref="B13:G13" si="2">B11+B12</f>
        <v>6575.3424657534242</v>
      </c>
      <c r="C13" s="34">
        <f t="shared" si="2"/>
        <v>7101.3698630136987</v>
      </c>
      <c r="D13" s="34">
        <f t="shared" si="2"/>
        <v>7669.4794520547939</v>
      </c>
      <c r="E13" s="34">
        <f t="shared" si="2"/>
        <v>8283.0378082191801</v>
      </c>
      <c r="F13" s="34">
        <f t="shared" si="2"/>
        <v>8945.6808328767129</v>
      </c>
      <c r="G13" s="34">
        <f t="shared" si="2"/>
        <v>9661.3352995068526</v>
      </c>
    </row>
    <row r="14" spans="1:7" ht="15" customHeight="1" x14ac:dyDescent="0.25">
      <c r="A14" s="36" t="s">
        <v>65</v>
      </c>
      <c r="B14" s="9">
        <f>Assumptions!$B$26*(1-Assumptions!$B$27)</f>
        <v>30000</v>
      </c>
      <c r="C14" s="9">
        <f>Assumptions!$B$26*(1-Assumptions!$B$27)</f>
        <v>30000</v>
      </c>
      <c r="D14" s="9">
        <f>Assumptions!$B$26*(1-Assumptions!$B$27)</f>
        <v>30000</v>
      </c>
      <c r="E14" s="9">
        <f>Assumptions!$B$26*(1-Assumptions!$B$27)</f>
        <v>30000</v>
      </c>
      <c r="F14" s="9">
        <f>Assumptions!$B$26*(1-Assumptions!$B$27)</f>
        <v>30000</v>
      </c>
      <c r="G14" s="9">
        <f>Assumptions!$B$26*(1-Assumptions!$B$27)</f>
        <v>30000</v>
      </c>
    </row>
    <row r="15" spans="1:7" ht="15" customHeight="1" x14ac:dyDescent="0.25">
      <c r="A15" s="33" t="s">
        <v>66</v>
      </c>
      <c r="B15" s="34">
        <f t="shared" ref="B15:G15" si="3">B13+B14</f>
        <v>36575.342465753427</v>
      </c>
      <c r="C15" s="34">
        <f t="shared" si="3"/>
        <v>37101.369863013701</v>
      </c>
      <c r="D15" s="34">
        <f t="shared" si="3"/>
        <v>37669.479452054795</v>
      </c>
      <c r="E15" s="34">
        <f t="shared" si="3"/>
        <v>38283.037808219182</v>
      </c>
      <c r="F15" s="34">
        <f t="shared" si="3"/>
        <v>38945.680832876715</v>
      </c>
      <c r="G15" s="34">
        <f t="shared" si="3"/>
        <v>39661.335299506856</v>
      </c>
    </row>
    <row r="16" spans="1:7" ht="15" customHeight="1" x14ac:dyDescent="0.25">
      <c r="A16" s="8" t="s">
        <v>67</v>
      </c>
      <c r="B16" s="35">
        <f>B9-B15</f>
        <v>34041.09589041095</v>
      </c>
      <c r="C16" s="9">
        <f>B16+'Income Statement'!C14</f>
        <v>45561.09589041095</v>
      </c>
      <c r="D16" s="9">
        <f>C16+'Income Statement'!D14</f>
        <v>58117.89589041096</v>
      </c>
      <c r="E16" s="9">
        <f>D16+'Income Statement'!E14</f>
        <v>71794.439890410969</v>
      </c>
      <c r="F16" s="9">
        <f>E16+'Income Statement'!F14</f>
        <v>86680.307410410984</v>
      </c>
      <c r="G16" s="9">
        <f>F16+'Income Statement'!G14</f>
        <v>102872.244332011</v>
      </c>
    </row>
    <row r="17" spans="1:7" ht="15" customHeight="1" x14ac:dyDescent="0.25">
      <c r="A17" s="14" t="s">
        <v>68</v>
      </c>
      <c r="B17" s="37">
        <f t="shared" ref="B17:G17" si="4">B15+B16</f>
        <v>70616.438356164377</v>
      </c>
      <c r="C17" s="37">
        <f t="shared" si="4"/>
        <v>82662.465753424651</v>
      </c>
      <c r="D17" s="37">
        <f t="shared" si="4"/>
        <v>95787.375342465763</v>
      </c>
      <c r="E17" s="37">
        <f t="shared" si="4"/>
        <v>110077.47769863016</v>
      </c>
      <c r="F17" s="37">
        <f t="shared" si="4"/>
        <v>125625.98824328769</v>
      </c>
      <c r="G17" s="37">
        <f t="shared" si="4"/>
        <v>142533.57963151787</v>
      </c>
    </row>
    <row r="19" spans="1:7" ht="15" customHeight="1" x14ac:dyDescent="0.25">
      <c r="A19" s="8" t="s">
        <v>69</v>
      </c>
      <c r="B19" s="38">
        <f t="shared" ref="B19:G19" si="5">B9-B17</f>
        <v>0</v>
      </c>
      <c r="C19" s="38">
        <f t="shared" si="5"/>
        <v>0</v>
      </c>
      <c r="D19" s="38">
        <f t="shared" si="5"/>
        <v>0</v>
      </c>
      <c r="E19" s="38">
        <f t="shared" si="5"/>
        <v>0</v>
      </c>
      <c r="F19" s="38">
        <f t="shared" si="5"/>
        <v>0</v>
      </c>
      <c r="G19" s="38">
        <f t="shared" si="5"/>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B9" sqref="B9"/>
    </sheetView>
  </sheetViews>
  <sheetFormatPr defaultColWidth="8.7109375" defaultRowHeight="15" x14ac:dyDescent="0.25"/>
  <cols>
    <col min="1" max="1" width="30" customWidth="1"/>
    <col min="2" max="2" width="3" customWidth="1"/>
    <col min="3" max="3" width="13.7109375" customWidth="1"/>
    <col min="4" max="7" width="12" customWidth="1"/>
  </cols>
  <sheetData>
    <row r="1" spans="1:7" ht="18" customHeight="1" x14ac:dyDescent="0.25">
      <c r="A1" s="39" t="s">
        <v>70</v>
      </c>
      <c r="B1" s="40"/>
      <c r="C1" s="40"/>
    </row>
    <row r="2" spans="1:7" ht="15" customHeight="1" x14ac:dyDescent="0.25">
      <c r="A2" s="41" t="s">
        <v>71</v>
      </c>
      <c r="B2" s="42"/>
      <c r="C2" s="42"/>
    </row>
    <row r="3" spans="1:7" ht="15" customHeight="1" x14ac:dyDescent="0.25">
      <c r="A3" s="43"/>
      <c r="B3" s="44"/>
      <c r="C3" s="44"/>
    </row>
    <row r="4" spans="1:7" ht="15" customHeight="1" x14ac:dyDescent="0.25">
      <c r="A4" s="14" t="s">
        <v>45</v>
      </c>
      <c r="B4" s="45"/>
      <c r="C4" s="46" t="str">
        <f>'Income Statement'!C3</f>
        <v>2027E</v>
      </c>
      <c r="D4" s="12" t="str">
        <f>'Income Statement'!D3</f>
        <v>2028E</v>
      </c>
      <c r="E4" s="12" t="str">
        <f>'Income Statement'!E3</f>
        <v>2029E</v>
      </c>
      <c r="F4" s="12" t="str">
        <f>'Income Statement'!F3</f>
        <v>2030E</v>
      </c>
      <c r="G4" s="12" t="str">
        <f>'Income Statement'!G3</f>
        <v>2031E</v>
      </c>
    </row>
    <row r="5" spans="1:7" ht="15" customHeight="1" x14ac:dyDescent="0.25">
      <c r="A5" s="8" t="s">
        <v>6</v>
      </c>
      <c r="B5" s="47"/>
      <c r="C5" s="9">
        <f>'Income Statement'!C14</f>
        <v>11520</v>
      </c>
      <c r="D5" s="9">
        <f>'Income Statement'!D14</f>
        <v>12556.800000000008</v>
      </c>
      <c r="E5" s="9">
        <f>'Income Statement'!E14</f>
        <v>13676.544000000004</v>
      </c>
      <c r="F5" s="9">
        <f>'Income Statement'!F14</f>
        <v>14885.867520000011</v>
      </c>
      <c r="G5" s="9">
        <f>'Income Statement'!G14</f>
        <v>16191.936921600014</v>
      </c>
    </row>
    <row r="6" spans="1:7" ht="15" customHeight="1" x14ac:dyDescent="0.25">
      <c r="A6" s="8" t="s">
        <v>72</v>
      </c>
      <c r="B6" s="47"/>
      <c r="C6" s="9">
        <f>'Income Statement'!C9</f>
        <v>5400</v>
      </c>
      <c r="D6" s="9">
        <f>'Income Statement'!D9</f>
        <v>5832.0000000000009</v>
      </c>
      <c r="E6" s="9">
        <f>'Income Statement'!E9</f>
        <v>6298.5600000000013</v>
      </c>
      <c r="F6" s="9">
        <f>'Income Statement'!F9</f>
        <v>6802.444800000002</v>
      </c>
      <c r="G6" s="9">
        <f>'Income Statement'!G9</f>
        <v>7346.640384000003</v>
      </c>
    </row>
    <row r="7" spans="1:7" ht="15" customHeight="1" x14ac:dyDescent="0.25">
      <c r="A7" s="8" t="s">
        <v>73</v>
      </c>
      <c r="B7" s="47"/>
      <c r="C7" s="9">
        <f>-('Balance Sheet'!C5-'Balance Sheet'!B5)</f>
        <v>-657.53424657534379</v>
      </c>
      <c r="D7" s="9">
        <f>-('Balance Sheet'!D5-'Balance Sheet'!C5)</f>
        <v>-710.13698630136969</v>
      </c>
      <c r="E7" s="9">
        <f>-('Balance Sheet'!E5-'Balance Sheet'!D5)</f>
        <v>-766.94794520548021</v>
      </c>
      <c r="F7" s="9">
        <f>-('Balance Sheet'!F5-'Balance Sheet'!E5)</f>
        <v>-828.30378082191964</v>
      </c>
      <c r="G7" s="9">
        <f>-('Balance Sheet'!G5-'Balance Sheet'!F5)</f>
        <v>-894.56808328767329</v>
      </c>
    </row>
    <row r="8" spans="1:7" ht="15" customHeight="1" x14ac:dyDescent="0.25">
      <c r="A8" s="8" t="s">
        <v>74</v>
      </c>
      <c r="B8" s="47"/>
      <c r="C8" s="9">
        <f>-('Balance Sheet'!C6-'Balance Sheet'!B6)</f>
        <v>-591.78082191780868</v>
      </c>
      <c r="D8" s="9">
        <f>-('Balance Sheet'!D6-'Balance Sheet'!C6)</f>
        <v>-639.12328767123199</v>
      </c>
      <c r="E8" s="9">
        <f>-('Balance Sheet'!E6-'Balance Sheet'!D6)</f>
        <v>-690.25315068493364</v>
      </c>
      <c r="F8" s="9">
        <f>-('Balance Sheet'!F6-'Balance Sheet'!E6)</f>
        <v>-745.47340273972623</v>
      </c>
      <c r="G8" s="9">
        <f>-('Balance Sheet'!G6-'Balance Sheet'!F6)</f>
        <v>-805.11127495890469</v>
      </c>
    </row>
    <row r="9" spans="1:7" ht="15" customHeight="1" x14ac:dyDescent="0.25">
      <c r="A9" s="8" t="s">
        <v>75</v>
      </c>
      <c r="B9" s="47"/>
      <c r="C9" s="9">
        <f>'Balance Sheet'!C11-'Balance Sheet'!B11</f>
        <v>526.02739726027448</v>
      </c>
      <c r="D9" s="9">
        <f>'Balance Sheet'!D11-'Balance Sheet'!C11</f>
        <v>568.10958904109521</v>
      </c>
      <c r="E9" s="9">
        <f>'Balance Sheet'!E11-'Balance Sheet'!D11</f>
        <v>613.55835616438617</v>
      </c>
      <c r="F9" s="9">
        <f>'Balance Sheet'!F11-'Balance Sheet'!E11</f>
        <v>662.64302465753281</v>
      </c>
      <c r="G9" s="9">
        <f>'Balance Sheet'!G11-'Balance Sheet'!F11</f>
        <v>715.65446663013972</v>
      </c>
    </row>
    <row r="10" spans="1:7" ht="15" customHeight="1" x14ac:dyDescent="0.25">
      <c r="A10" s="33" t="s">
        <v>76</v>
      </c>
      <c r="B10" s="48"/>
      <c r="C10" s="34">
        <f>SUM(C5:C9)</f>
        <v>16196.71232876712</v>
      </c>
      <c r="D10" s="34">
        <f>SUM(D5:D9)</f>
        <v>17607.649315068506</v>
      </c>
      <c r="E10" s="34">
        <f>SUM(E5:E9)</f>
        <v>19131.46126027398</v>
      </c>
      <c r="F10" s="34">
        <f>SUM(F5:F9)</f>
        <v>20777.178161095901</v>
      </c>
      <c r="G10" s="34">
        <f>SUM(G5:G9)</f>
        <v>22554.552413983576</v>
      </c>
    </row>
    <row r="11" spans="1:7" ht="15" customHeight="1" x14ac:dyDescent="0.25">
      <c r="A11" s="8" t="s">
        <v>77</v>
      </c>
      <c r="B11" s="47"/>
      <c r="C11" s="9">
        <f>-Assumptions!$F$20</f>
        <v>-8000</v>
      </c>
      <c r="D11" s="9">
        <f>-Assumptions!$F$20</f>
        <v>-8000</v>
      </c>
      <c r="E11" s="9">
        <f>-Assumptions!$F$20</f>
        <v>-8000</v>
      </c>
      <c r="F11" s="9">
        <f>-Assumptions!$F$20</f>
        <v>-8000</v>
      </c>
      <c r="G11" s="9">
        <f>-Assumptions!$F$20</f>
        <v>-8000</v>
      </c>
    </row>
    <row r="12" spans="1:7" ht="15" customHeight="1" x14ac:dyDescent="0.25">
      <c r="A12" s="33" t="s">
        <v>78</v>
      </c>
      <c r="B12" s="48"/>
      <c r="C12" s="34">
        <f>C11</f>
        <v>-8000</v>
      </c>
      <c r="D12" s="34">
        <f>D11</f>
        <v>-8000</v>
      </c>
      <c r="E12" s="34">
        <f>E11</f>
        <v>-8000</v>
      </c>
      <c r="F12" s="34">
        <f>F11</f>
        <v>-8000</v>
      </c>
      <c r="G12" s="34">
        <f>G11</f>
        <v>-8000</v>
      </c>
    </row>
    <row r="13" spans="1:7" ht="15" customHeight="1" x14ac:dyDescent="0.25">
      <c r="A13" s="14" t="s">
        <v>79</v>
      </c>
      <c r="B13" s="47"/>
      <c r="C13" s="34">
        <v>0</v>
      </c>
      <c r="D13" s="34">
        <v>0</v>
      </c>
      <c r="E13" s="34">
        <v>0</v>
      </c>
      <c r="F13" s="34">
        <v>0</v>
      </c>
      <c r="G13" s="34">
        <v>0</v>
      </c>
    </row>
    <row r="14" spans="1:7" ht="15" customHeight="1" x14ac:dyDescent="0.25">
      <c r="A14" s="33" t="s">
        <v>80</v>
      </c>
      <c r="B14" s="48"/>
      <c r="C14" s="34">
        <f>C10+C12+C13</f>
        <v>8196.7123287671202</v>
      </c>
      <c r="D14" s="34">
        <f>D10+D12+D13</f>
        <v>9607.6493150685055</v>
      </c>
      <c r="E14" s="34">
        <f>E10+E12+E13</f>
        <v>11131.46126027398</v>
      </c>
      <c r="F14" s="34">
        <f>F10+F12+F13</f>
        <v>12777.178161095901</v>
      </c>
      <c r="G14" s="34">
        <f>G10+G12+G13</f>
        <v>14554.552413983576</v>
      </c>
    </row>
    <row r="15" spans="1:7" ht="15" customHeight="1" x14ac:dyDescent="0.25">
      <c r="A15" s="8" t="s">
        <v>81</v>
      </c>
      <c r="B15" s="47"/>
      <c r="C15" s="9">
        <f>'Balance Sheet'!B4</f>
        <v>15000</v>
      </c>
      <c r="D15" s="9">
        <f>'Balance Sheet'!C4</f>
        <v>23196.71232876712</v>
      </c>
      <c r="E15" s="9">
        <f>'Balance Sheet'!D4</f>
        <v>32804.361643835626</v>
      </c>
      <c r="F15" s="9">
        <f>'Balance Sheet'!E4</f>
        <v>43935.822904109606</v>
      </c>
      <c r="G15" s="9">
        <f>'Balance Sheet'!F4</f>
        <v>56713.001065205506</v>
      </c>
    </row>
    <row r="16" spans="1:7" ht="15.75" customHeight="1" x14ac:dyDescent="0.25">
      <c r="A16" s="49" t="s">
        <v>9</v>
      </c>
      <c r="B16" s="50"/>
      <c r="C16" s="34">
        <f>C15+C14</f>
        <v>23196.71232876712</v>
      </c>
      <c r="D16" s="34">
        <f>D15+D14</f>
        <v>32804.361643835626</v>
      </c>
      <c r="E16" s="34">
        <f>E15+E14</f>
        <v>43935.822904109606</v>
      </c>
      <c r="F16" s="34">
        <f>F15+F14</f>
        <v>56713.001065205506</v>
      </c>
      <c r="G16" s="34">
        <f>G15+G14</f>
        <v>71267.553479189082</v>
      </c>
    </row>
    <row r="17" ht="15.75" customHeight="1" x14ac:dyDescent="0.25"/>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28" customWidth="1"/>
    <col min="2" max="7" width="12" customWidth="1"/>
  </cols>
  <sheetData>
    <row r="1" spans="1:7" ht="17.25" customHeight="1" x14ac:dyDescent="0.25">
      <c r="A1" s="3" t="s">
        <v>82</v>
      </c>
    </row>
    <row r="2" spans="1:7" ht="15" customHeight="1" x14ac:dyDescent="0.25">
      <c r="A2" s="14" t="str">
        <f>"Active scenario: "&amp;Assumptions!$B$4</f>
        <v>Active scenario: Base</v>
      </c>
    </row>
    <row r="4" spans="1:7" ht="15" customHeight="1" x14ac:dyDescent="0.25">
      <c r="B4" s="12" t="s">
        <v>2</v>
      </c>
      <c r="C4" s="12" t="s">
        <v>12</v>
      </c>
      <c r="D4" s="12" t="s">
        <v>13</v>
      </c>
      <c r="E4" s="12" t="s">
        <v>14</v>
      </c>
      <c r="F4" s="12" t="s">
        <v>15</v>
      </c>
      <c r="G4" s="12" t="s">
        <v>3</v>
      </c>
    </row>
    <row r="5" spans="1:7" ht="15" customHeight="1" x14ac:dyDescent="0.25">
      <c r="A5" s="8" t="s">
        <v>83</v>
      </c>
      <c r="B5" s="51" t="s">
        <v>84</v>
      </c>
      <c r="C5" s="10">
        <f>'Income Statement'!C4/'Income Statement'!B4-1</f>
        <v>8.0000000000000071E-2</v>
      </c>
      <c r="D5" s="10">
        <f>'Income Statement'!D4/'Income Statement'!C4-1</f>
        <v>8.0000000000000071E-2</v>
      </c>
      <c r="E5" s="10">
        <f>'Income Statement'!E4/'Income Statement'!D4-1</f>
        <v>8.0000000000000071E-2</v>
      </c>
      <c r="F5" s="10">
        <f>'Income Statement'!F4/'Income Statement'!E4-1</f>
        <v>8.0000000000000071E-2</v>
      </c>
      <c r="G5" s="10">
        <f>'Income Statement'!G4/'Income Statement'!F4-1</f>
        <v>8.0000000000000071E-2</v>
      </c>
    </row>
    <row r="6" spans="1:7" ht="15" customHeight="1" x14ac:dyDescent="0.25">
      <c r="A6" s="8" t="s">
        <v>85</v>
      </c>
      <c r="B6" s="10">
        <f>'Income Statement'!B6/'Income Statement'!B4</f>
        <v>0.4</v>
      </c>
      <c r="C6" s="10">
        <f>'Income Statement'!C6/'Income Statement'!C4</f>
        <v>0.4</v>
      </c>
      <c r="D6" s="10">
        <f>'Income Statement'!D6/'Income Statement'!D4</f>
        <v>0.40000000000000008</v>
      </c>
      <c r="E6" s="10">
        <f>'Income Statement'!E6/'Income Statement'!E4</f>
        <v>0.4</v>
      </c>
      <c r="F6" s="10">
        <f>'Income Statement'!F6/'Income Statement'!F4</f>
        <v>0.40000000000000008</v>
      </c>
      <c r="G6" s="10">
        <f>'Income Statement'!G6/'Income Statement'!G4</f>
        <v>0.40000000000000008</v>
      </c>
    </row>
    <row r="7" spans="1:7" ht="15" customHeight="1" x14ac:dyDescent="0.25">
      <c r="A7" s="8" t="s">
        <v>86</v>
      </c>
      <c r="B7" s="10">
        <f>'Income Statement'!B8/'Income Statement'!B4</f>
        <v>0.2</v>
      </c>
      <c r="C7" s="10">
        <f>'Income Statement'!C8/'Income Statement'!C4</f>
        <v>0.2</v>
      </c>
      <c r="D7" s="10">
        <f>'Income Statement'!D8/'Income Statement'!D4</f>
        <v>0.20000000000000007</v>
      </c>
      <c r="E7" s="10">
        <f>'Income Statement'!E8/'Income Statement'!E4</f>
        <v>0.2</v>
      </c>
      <c r="F7" s="10">
        <f>'Income Statement'!F8/'Income Statement'!F4</f>
        <v>0.20000000000000007</v>
      </c>
      <c r="G7" s="10">
        <f>'Income Statement'!G8/'Income Statement'!G4</f>
        <v>0.20000000000000007</v>
      </c>
    </row>
    <row r="8" spans="1:7" ht="15" customHeight="1" x14ac:dyDescent="0.25">
      <c r="A8" s="8" t="s">
        <v>87</v>
      </c>
      <c r="B8" s="10">
        <f>'Income Statement'!B14/'Income Statement'!B4</f>
        <v>0.1056</v>
      </c>
      <c r="C8" s="10">
        <f>'Income Statement'!C14/'Income Statement'!C4</f>
        <v>0.10666666666666667</v>
      </c>
      <c r="D8" s="10">
        <f>'Income Statement'!D14/'Income Statement'!D4</f>
        <v>0.10765432098765437</v>
      </c>
      <c r="E8" s="10">
        <f>'Income Statement'!E14/'Income Statement'!E4</f>
        <v>0.10856881572930956</v>
      </c>
      <c r="F8" s="10">
        <f>'Income Statement'!F14/'Income Statement'!F4</f>
        <v>0.10941557011973112</v>
      </c>
      <c r="G8" s="10">
        <f>'Income Statement'!G14/'Income Statement'!G4</f>
        <v>0.11019960196271401</v>
      </c>
    </row>
    <row r="9" spans="1:7" ht="15" customHeight="1" x14ac:dyDescent="0.25">
      <c r="A9" s="8" t="s">
        <v>88</v>
      </c>
      <c r="B9" s="52">
        <f>'Balance Sheet'!B7/'Balance Sheet'!B13</f>
        <v>4.65625</v>
      </c>
      <c r="C9" s="52">
        <f>'Balance Sheet'!C7/'Balance Sheet'!C13</f>
        <v>5.6415123456790122</v>
      </c>
      <c r="D9" s="52">
        <f>'Balance Sheet'!D7/'Balance Sheet'!D13</f>
        <v>6.6522605166895303</v>
      </c>
      <c r="E9" s="52">
        <f>'Balance Sheet'!E7/'Balance Sheet'!E13</f>
        <v>7.6793127317990146</v>
      </c>
      <c r="F9" s="52">
        <f>'Balance Sheet'!F7/'Balance Sheet'!F13</f>
        <v>8.7147076337417246</v>
      </c>
      <c r="G9" s="52">
        <f>'Balance Sheet'!G7/'Balance Sheet'!G13</f>
        <v>9.7515738658119879</v>
      </c>
    </row>
    <row r="10" spans="1:7" ht="15" customHeight="1" x14ac:dyDescent="0.25">
      <c r="A10" s="8" t="s">
        <v>89</v>
      </c>
      <c r="B10" s="52">
        <f>('Balance Sheet'!B12+'Balance Sheet'!B14)/'Balance Sheet'!B16</f>
        <v>0.88128772635814911</v>
      </c>
      <c r="C10" s="52">
        <f>('Balance Sheet'!C12+'Balance Sheet'!C14)/'Balance Sheet'!C16</f>
        <v>0.65845650579080939</v>
      </c>
      <c r="D10" s="52">
        <f>('Balance Sheet'!D12+'Balance Sheet'!D14)/'Balance Sheet'!D16</f>
        <v>0.516192121899406</v>
      </c>
      <c r="E10" s="52">
        <f>('Balance Sheet'!E12+'Balance Sheet'!E14)/'Balance Sheet'!E16</f>
        <v>0.41785965662233504</v>
      </c>
      <c r="F10" s="52">
        <f>('Balance Sheet'!F12+'Balance Sheet'!F14)/'Balance Sheet'!F16</f>
        <v>0.34609937246711664</v>
      </c>
      <c r="G10" s="52">
        <f>('Balance Sheet'!G12+'Balance Sheet'!G14)/'Balance Sheet'!G16</f>
        <v>0.29162385048368999</v>
      </c>
    </row>
    <row r="11" spans="1:7" ht="15" customHeight="1" x14ac:dyDescent="0.25">
      <c r="A11" s="8" t="s">
        <v>90</v>
      </c>
      <c r="B11" s="53">
        <f>'Balance Sheet'!B5/'Income Statement'!B4*365</f>
        <v>30</v>
      </c>
      <c r="C11" s="53">
        <f>'Balance Sheet'!C5/'Income Statement'!C4*365</f>
        <v>30.000000000000004</v>
      </c>
      <c r="D11" s="53">
        <f>'Balance Sheet'!D5/'Income Statement'!D4*365</f>
        <v>30</v>
      </c>
      <c r="E11" s="53">
        <f>'Balance Sheet'!E5/'Income Statement'!E4*365</f>
        <v>30</v>
      </c>
      <c r="F11" s="53">
        <f>'Balance Sheet'!F5/'Income Statement'!F4*365</f>
        <v>30</v>
      </c>
      <c r="G11" s="53">
        <f>'Balance Sheet'!G5/'Income Statement'!G4*365</f>
        <v>30.000000000000004</v>
      </c>
    </row>
    <row r="12" spans="1:7" ht="15" customHeight="1" x14ac:dyDescent="0.25">
      <c r="A12" s="8" t="s">
        <v>91</v>
      </c>
      <c r="B12" s="53">
        <f>'Balance Sheet'!B6/'Income Statement'!B5*365</f>
        <v>45</v>
      </c>
      <c r="C12" s="53">
        <f>'Balance Sheet'!C6/'Income Statement'!C5*365</f>
        <v>45</v>
      </c>
      <c r="D12" s="53">
        <f>'Balance Sheet'!D6/'Income Statement'!D5*365</f>
        <v>45</v>
      </c>
      <c r="E12" s="53">
        <f>'Balance Sheet'!E6/'Income Statement'!E5*365</f>
        <v>45</v>
      </c>
      <c r="F12" s="53">
        <f>'Balance Sheet'!F6/'Income Statement'!F5*365</f>
        <v>45</v>
      </c>
      <c r="G12" s="53">
        <f>'Balance Sheet'!G6/'Income Statement'!G5*365</f>
        <v>45</v>
      </c>
    </row>
    <row r="13" spans="1:7" ht="15" customHeight="1" x14ac:dyDescent="0.25">
      <c r="A13" s="8" t="s">
        <v>92</v>
      </c>
      <c r="B13" s="53">
        <f>'Balance Sheet'!B11/'Income Statement'!B5*365</f>
        <v>40</v>
      </c>
      <c r="C13" s="53">
        <f>'Balance Sheet'!C11/'Income Statement'!C5*365</f>
        <v>40</v>
      </c>
      <c r="D13" s="53">
        <f>'Balance Sheet'!D11/'Income Statement'!D5*365</f>
        <v>40</v>
      </c>
      <c r="E13" s="53">
        <f>'Balance Sheet'!E11/'Income Statement'!E5*365</f>
        <v>40</v>
      </c>
      <c r="F13" s="53">
        <f>'Balance Sheet'!F11/'Income Statement'!F5*365</f>
        <v>40</v>
      </c>
      <c r="G13" s="53">
        <f>'Balance Sheet'!G11/'Income Statement'!G5*365</f>
        <v>40</v>
      </c>
    </row>
    <row r="15" spans="1:7" ht="15" customHeight="1" x14ac:dyDescent="0.25">
      <c r="A15" s="5" t="s">
        <v>93</v>
      </c>
      <c r="B15" s="6"/>
      <c r="C15" s="6"/>
      <c r="D15" s="6"/>
      <c r="E15" s="6"/>
      <c r="F15" s="6"/>
      <c r="G15" s="6"/>
    </row>
    <row r="16" spans="1:7" ht="15" customHeight="1" x14ac:dyDescent="0.25">
      <c r="A16" s="8" t="s">
        <v>94</v>
      </c>
      <c r="B16" s="38">
        <f>'Balance Sheet'!B19</f>
        <v>0</v>
      </c>
      <c r="C16" s="38">
        <f>'Balance Sheet'!C19</f>
        <v>0</v>
      </c>
      <c r="D16" s="38">
        <f>'Balance Sheet'!D19</f>
        <v>0</v>
      </c>
      <c r="E16" s="38">
        <f>'Balance Sheet'!E19</f>
        <v>0</v>
      </c>
      <c r="F16" s="38">
        <f>'Balance Sheet'!F19</f>
        <v>0</v>
      </c>
      <c r="G16" s="38">
        <f>'Balance Sheet'!G19</f>
        <v>0</v>
      </c>
    </row>
    <row r="17" spans="1:7" ht="15" customHeight="1" x14ac:dyDescent="0.25">
      <c r="A17" s="8" t="s">
        <v>95</v>
      </c>
      <c r="B17" s="54" t="s">
        <v>84</v>
      </c>
      <c r="C17" s="38">
        <f>'Balance Sheet'!C4-'Cash Flow Statement'!C16</f>
        <v>0</v>
      </c>
      <c r="D17" s="38">
        <f>'Balance Sheet'!D4-'Cash Flow Statement'!D16</f>
        <v>0</v>
      </c>
      <c r="E17" s="38">
        <f>'Balance Sheet'!E4-'Cash Flow Statement'!E16</f>
        <v>0</v>
      </c>
      <c r="F17" s="38">
        <f>'Balance Sheet'!F4-'Cash Flow Statement'!F16</f>
        <v>0</v>
      </c>
      <c r="G17" s="38">
        <f>'Balance Sheet'!G4-'Cash Flow Statement'!G16</f>
        <v>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
  <sheetViews>
    <sheetView showGridLines="0" zoomScaleNormal="100" workbookViewId="0"/>
  </sheetViews>
  <sheetFormatPr defaultColWidth="8.7109375" defaultRowHeight="15" x14ac:dyDescent="0.25"/>
  <cols>
    <col min="1" max="1" width="24" customWidth="1"/>
    <col min="2" max="13" width="11" customWidth="1"/>
    <col min="14" max="14" width="12" customWidth="1"/>
  </cols>
  <sheetData>
    <row r="1" spans="1:14" ht="17.25" customHeight="1" x14ac:dyDescent="0.25">
      <c r="A1" s="3" t="s">
        <v>96</v>
      </c>
    </row>
    <row r="2" spans="1:14" ht="15" customHeight="1" x14ac:dyDescent="0.25">
      <c r="A2" s="2" t="s">
        <v>97</v>
      </c>
      <c r="B2" s="2"/>
      <c r="C2" s="2"/>
      <c r="D2" s="2"/>
      <c r="E2" s="2"/>
      <c r="F2" s="2"/>
      <c r="G2" s="2"/>
      <c r="H2" s="2"/>
      <c r="I2" s="2"/>
      <c r="J2" s="2"/>
      <c r="K2" s="2"/>
      <c r="L2" s="2"/>
      <c r="M2" s="2"/>
    </row>
    <row r="3" spans="1:14" ht="15" customHeight="1" x14ac:dyDescent="0.25">
      <c r="A3" s="2"/>
      <c r="B3" s="2"/>
      <c r="C3" s="2"/>
      <c r="D3" s="2"/>
      <c r="E3" s="2"/>
      <c r="F3" s="2"/>
      <c r="G3" s="2"/>
      <c r="H3" s="2"/>
      <c r="I3" s="2"/>
      <c r="J3" s="2"/>
      <c r="K3" s="2"/>
      <c r="L3" s="2"/>
      <c r="M3" s="2"/>
    </row>
    <row r="7" spans="1:14" ht="15" customHeight="1" x14ac:dyDescent="0.25">
      <c r="B7" s="12" t="s">
        <v>98</v>
      </c>
      <c r="C7" s="12" t="s">
        <v>99</v>
      </c>
      <c r="D7" s="12" t="s">
        <v>100</v>
      </c>
      <c r="E7" s="12" t="s">
        <v>101</v>
      </c>
      <c r="F7" s="12" t="s">
        <v>102</v>
      </c>
      <c r="G7" s="12" t="s">
        <v>103</v>
      </c>
      <c r="H7" s="12" t="s">
        <v>104</v>
      </c>
      <c r="I7" s="12" t="s">
        <v>105</v>
      </c>
      <c r="J7" s="12" t="s">
        <v>106</v>
      </c>
      <c r="K7" s="12" t="s">
        <v>107</v>
      </c>
      <c r="L7" s="12" t="s">
        <v>108</v>
      </c>
      <c r="M7" s="12" t="s">
        <v>109</v>
      </c>
      <c r="N7" s="12" t="s">
        <v>110</v>
      </c>
    </row>
    <row r="8" spans="1:14" ht="15" customHeight="1" x14ac:dyDescent="0.25">
      <c r="A8" s="14" t="s">
        <v>5</v>
      </c>
      <c r="B8" s="32">
        <f>Assumptions!$B$23*(1+Assumptions!$C$7)/12</f>
        <v>9000</v>
      </c>
      <c r="C8" s="32">
        <f>Assumptions!$B$23*(1+Assumptions!$C$7)/12</f>
        <v>9000</v>
      </c>
      <c r="D8" s="32">
        <f>Assumptions!$B$23*(1+Assumptions!$C$7)/12</f>
        <v>9000</v>
      </c>
      <c r="E8" s="32">
        <f>Assumptions!$B$23*(1+Assumptions!$C$7)/12</f>
        <v>9000</v>
      </c>
      <c r="F8" s="32">
        <f>Assumptions!$B$23*(1+Assumptions!$C$7)/12</f>
        <v>9000</v>
      </c>
      <c r="G8" s="32">
        <f>Assumptions!$B$23*(1+Assumptions!$C$7)/12</f>
        <v>9000</v>
      </c>
      <c r="H8" s="32">
        <f>Assumptions!$B$23*(1+Assumptions!$C$7)/12</f>
        <v>9000</v>
      </c>
      <c r="I8" s="32">
        <f>Assumptions!$B$23*(1+Assumptions!$C$7)/12</f>
        <v>9000</v>
      </c>
      <c r="J8" s="32">
        <f>Assumptions!$B$23*(1+Assumptions!$C$7)/12</f>
        <v>9000</v>
      </c>
      <c r="K8" s="32">
        <f>Assumptions!$B$23*(1+Assumptions!$C$7)/12</f>
        <v>9000</v>
      </c>
      <c r="L8" s="32">
        <f>Assumptions!$B$23*(1+Assumptions!$C$7)/12</f>
        <v>9000</v>
      </c>
      <c r="M8" s="32">
        <f>Assumptions!$B$23*(1+Assumptions!$C$7)/12</f>
        <v>9000</v>
      </c>
      <c r="N8" s="34">
        <f t="shared" ref="N8:N18" si="0">SUM(B8:M8)</f>
        <v>108000</v>
      </c>
    </row>
    <row r="9" spans="1:14" ht="15" customHeight="1" x14ac:dyDescent="0.25">
      <c r="A9" s="8" t="s">
        <v>46</v>
      </c>
      <c r="B9" s="9">
        <f>B8*Assumptions!$C$8</f>
        <v>5400</v>
      </c>
      <c r="C9" s="9">
        <f>C8*Assumptions!$C$8</f>
        <v>5400</v>
      </c>
      <c r="D9" s="9">
        <f>D8*Assumptions!$C$8</f>
        <v>5400</v>
      </c>
      <c r="E9" s="9">
        <f>E8*Assumptions!$C$8</f>
        <v>5400</v>
      </c>
      <c r="F9" s="9">
        <f>F8*Assumptions!$C$8</f>
        <v>5400</v>
      </c>
      <c r="G9" s="9">
        <f>G8*Assumptions!$C$8</f>
        <v>5400</v>
      </c>
      <c r="H9" s="9">
        <f>H8*Assumptions!$C$8</f>
        <v>5400</v>
      </c>
      <c r="I9" s="9">
        <f>I8*Assumptions!$C$8</f>
        <v>5400</v>
      </c>
      <c r="J9" s="9">
        <f>J8*Assumptions!$C$8</f>
        <v>5400</v>
      </c>
      <c r="K9" s="9">
        <f>K8*Assumptions!$C$8</f>
        <v>5400</v>
      </c>
      <c r="L9" s="9">
        <f>L8*Assumptions!$C$8</f>
        <v>5400</v>
      </c>
      <c r="M9" s="9">
        <f>M8*Assumptions!$C$8</f>
        <v>5400</v>
      </c>
      <c r="N9" s="35">
        <f t="shared" si="0"/>
        <v>64800</v>
      </c>
    </row>
    <row r="10" spans="1:14" ht="15" customHeight="1" x14ac:dyDescent="0.25">
      <c r="A10" s="14" t="s">
        <v>47</v>
      </c>
      <c r="B10" s="34">
        <f t="shared" ref="B10:M10" si="1">B8-B9</f>
        <v>3600</v>
      </c>
      <c r="C10" s="34">
        <f t="shared" si="1"/>
        <v>3600</v>
      </c>
      <c r="D10" s="34">
        <f t="shared" si="1"/>
        <v>3600</v>
      </c>
      <c r="E10" s="34">
        <f t="shared" si="1"/>
        <v>3600</v>
      </c>
      <c r="F10" s="34">
        <f t="shared" si="1"/>
        <v>3600</v>
      </c>
      <c r="G10" s="34">
        <f t="shared" si="1"/>
        <v>3600</v>
      </c>
      <c r="H10" s="34">
        <f t="shared" si="1"/>
        <v>3600</v>
      </c>
      <c r="I10" s="34">
        <f t="shared" si="1"/>
        <v>3600</v>
      </c>
      <c r="J10" s="34">
        <f t="shared" si="1"/>
        <v>3600</v>
      </c>
      <c r="K10" s="34">
        <f t="shared" si="1"/>
        <v>3600</v>
      </c>
      <c r="L10" s="34">
        <f t="shared" si="1"/>
        <v>3600</v>
      </c>
      <c r="M10" s="34">
        <f t="shared" si="1"/>
        <v>3600</v>
      </c>
      <c r="N10" s="34">
        <f t="shared" si="0"/>
        <v>43200</v>
      </c>
    </row>
    <row r="11" spans="1:14" ht="15" customHeight="1" x14ac:dyDescent="0.25">
      <c r="A11" s="8" t="s">
        <v>48</v>
      </c>
      <c r="B11" s="9">
        <f>B8*Assumptions!$C$9</f>
        <v>1800</v>
      </c>
      <c r="C11" s="9">
        <f>C8*Assumptions!$C$9</f>
        <v>1800</v>
      </c>
      <c r="D11" s="9">
        <f>D8*Assumptions!$C$9</f>
        <v>1800</v>
      </c>
      <c r="E11" s="9">
        <f>E8*Assumptions!$C$9</f>
        <v>1800</v>
      </c>
      <c r="F11" s="9">
        <f>F8*Assumptions!$C$9</f>
        <v>1800</v>
      </c>
      <c r="G11" s="9">
        <f>G8*Assumptions!$C$9</f>
        <v>1800</v>
      </c>
      <c r="H11" s="9">
        <f>H8*Assumptions!$C$9</f>
        <v>1800</v>
      </c>
      <c r="I11" s="9">
        <f>I8*Assumptions!$C$9</f>
        <v>1800</v>
      </c>
      <c r="J11" s="9">
        <f>J8*Assumptions!$C$9</f>
        <v>1800</v>
      </c>
      <c r="K11" s="9">
        <f>K8*Assumptions!$C$9</f>
        <v>1800</v>
      </c>
      <c r="L11" s="9">
        <f>L8*Assumptions!$C$9</f>
        <v>1800</v>
      </c>
      <c r="M11" s="9">
        <f>M8*Assumptions!$C$9</f>
        <v>1800</v>
      </c>
      <c r="N11" s="35">
        <f t="shared" si="0"/>
        <v>21600</v>
      </c>
    </row>
    <row r="12" spans="1:14" ht="15" customHeight="1" x14ac:dyDescent="0.25">
      <c r="A12" s="14" t="s">
        <v>49</v>
      </c>
      <c r="B12" s="34">
        <f t="shared" ref="B12:M12" si="2">B10-B11</f>
        <v>1800</v>
      </c>
      <c r="C12" s="34">
        <f t="shared" si="2"/>
        <v>1800</v>
      </c>
      <c r="D12" s="34">
        <f t="shared" si="2"/>
        <v>1800</v>
      </c>
      <c r="E12" s="34">
        <f t="shared" si="2"/>
        <v>1800</v>
      </c>
      <c r="F12" s="34">
        <f t="shared" si="2"/>
        <v>1800</v>
      </c>
      <c r="G12" s="34">
        <f t="shared" si="2"/>
        <v>1800</v>
      </c>
      <c r="H12" s="34">
        <f t="shared" si="2"/>
        <v>1800</v>
      </c>
      <c r="I12" s="34">
        <f t="shared" si="2"/>
        <v>1800</v>
      </c>
      <c r="J12" s="34">
        <f t="shared" si="2"/>
        <v>1800</v>
      </c>
      <c r="K12" s="34">
        <f t="shared" si="2"/>
        <v>1800</v>
      </c>
      <c r="L12" s="34">
        <f t="shared" si="2"/>
        <v>1800</v>
      </c>
      <c r="M12" s="34">
        <f t="shared" si="2"/>
        <v>1800</v>
      </c>
      <c r="N12" s="34">
        <f t="shared" si="0"/>
        <v>21600</v>
      </c>
    </row>
    <row r="13" spans="1:14" ht="15" customHeight="1" x14ac:dyDescent="0.25">
      <c r="A13" s="8" t="s">
        <v>50</v>
      </c>
      <c r="B13" s="9">
        <f>B8*Assumptions!$C$10</f>
        <v>450</v>
      </c>
      <c r="C13" s="9">
        <f>C8*Assumptions!$C$10</f>
        <v>450</v>
      </c>
      <c r="D13" s="9">
        <f>D8*Assumptions!$C$10</f>
        <v>450</v>
      </c>
      <c r="E13" s="9">
        <f>E8*Assumptions!$C$10</f>
        <v>450</v>
      </c>
      <c r="F13" s="9">
        <f>F8*Assumptions!$C$10</f>
        <v>450</v>
      </c>
      <c r="G13" s="9">
        <f>G8*Assumptions!$C$10</f>
        <v>450</v>
      </c>
      <c r="H13" s="9">
        <f>H8*Assumptions!$C$10</f>
        <v>450</v>
      </c>
      <c r="I13" s="9">
        <f>I8*Assumptions!$C$10</f>
        <v>450</v>
      </c>
      <c r="J13" s="9">
        <f>J8*Assumptions!$C$10</f>
        <v>450</v>
      </c>
      <c r="K13" s="9">
        <f>K8*Assumptions!$C$10</f>
        <v>450</v>
      </c>
      <c r="L13" s="9">
        <f>L8*Assumptions!$C$10</f>
        <v>450</v>
      </c>
      <c r="M13" s="9">
        <f>M8*Assumptions!$C$10</f>
        <v>450</v>
      </c>
      <c r="N13" s="35">
        <f t="shared" si="0"/>
        <v>5400</v>
      </c>
    </row>
    <row r="14" spans="1:14" ht="15" customHeight="1" x14ac:dyDescent="0.25">
      <c r="A14" s="14" t="s">
        <v>51</v>
      </c>
      <c r="B14" s="34">
        <f t="shared" ref="B14:M14" si="3">B12-B13</f>
        <v>1350</v>
      </c>
      <c r="C14" s="34">
        <f t="shared" si="3"/>
        <v>1350</v>
      </c>
      <c r="D14" s="34">
        <f t="shared" si="3"/>
        <v>1350</v>
      </c>
      <c r="E14" s="34">
        <f t="shared" si="3"/>
        <v>1350</v>
      </c>
      <c r="F14" s="34">
        <f t="shared" si="3"/>
        <v>1350</v>
      </c>
      <c r="G14" s="34">
        <f t="shared" si="3"/>
        <v>1350</v>
      </c>
      <c r="H14" s="34">
        <f t="shared" si="3"/>
        <v>1350</v>
      </c>
      <c r="I14" s="34">
        <f t="shared" si="3"/>
        <v>1350</v>
      </c>
      <c r="J14" s="34">
        <f t="shared" si="3"/>
        <v>1350</v>
      </c>
      <c r="K14" s="34">
        <f t="shared" si="3"/>
        <v>1350</v>
      </c>
      <c r="L14" s="34">
        <f t="shared" si="3"/>
        <v>1350</v>
      </c>
      <c r="M14" s="34">
        <f t="shared" si="3"/>
        <v>1350</v>
      </c>
      <c r="N14" s="34">
        <f t="shared" si="0"/>
        <v>16200</v>
      </c>
    </row>
    <row r="15" spans="1:14" ht="15" customHeight="1" x14ac:dyDescent="0.25">
      <c r="A15" s="8" t="s">
        <v>52</v>
      </c>
      <c r="B15" s="9">
        <f>Assumptions!$B$26*Assumptions!$C$12/12</f>
        <v>150</v>
      </c>
      <c r="C15" s="9">
        <f>Assumptions!$B$26*Assumptions!$C$12/12</f>
        <v>150</v>
      </c>
      <c r="D15" s="9">
        <f>Assumptions!$B$26*Assumptions!$C$12/12</f>
        <v>150</v>
      </c>
      <c r="E15" s="9">
        <f>Assumptions!$B$26*Assumptions!$C$12/12</f>
        <v>150</v>
      </c>
      <c r="F15" s="9">
        <f>Assumptions!$B$26*Assumptions!$C$12/12</f>
        <v>150</v>
      </c>
      <c r="G15" s="9">
        <f>Assumptions!$B$26*Assumptions!$C$12/12</f>
        <v>150</v>
      </c>
      <c r="H15" s="9">
        <f>Assumptions!$B$26*Assumptions!$C$12/12</f>
        <v>150</v>
      </c>
      <c r="I15" s="9">
        <f>Assumptions!$B$26*Assumptions!$C$12/12</f>
        <v>150</v>
      </c>
      <c r="J15" s="9">
        <f>Assumptions!$B$26*Assumptions!$C$12/12</f>
        <v>150</v>
      </c>
      <c r="K15" s="9">
        <f>Assumptions!$B$26*Assumptions!$C$12/12</f>
        <v>150</v>
      </c>
      <c r="L15" s="9">
        <f>Assumptions!$B$26*Assumptions!$C$12/12</f>
        <v>150</v>
      </c>
      <c r="M15" s="9">
        <f>Assumptions!$B$26*Assumptions!$C$12/12</f>
        <v>150</v>
      </c>
      <c r="N15" s="35">
        <f t="shared" si="0"/>
        <v>1800</v>
      </c>
    </row>
    <row r="16" spans="1:14" ht="15" customHeight="1" x14ac:dyDescent="0.25">
      <c r="A16" s="14" t="s">
        <v>53</v>
      </c>
      <c r="B16" s="34">
        <f t="shared" ref="B16:M16" si="4">B14-B15</f>
        <v>1200</v>
      </c>
      <c r="C16" s="34">
        <f t="shared" si="4"/>
        <v>1200</v>
      </c>
      <c r="D16" s="34">
        <f t="shared" si="4"/>
        <v>1200</v>
      </c>
      <c r="E16" s="34">
        <f t="shared" si="4"/>
        <v>1200</v>
      </c>
      <c r="F16" s="34">
        <f t="shared" si="4"/>
        <v>1200</v>
      </c>
      <c r="G16" s="34">
        <f t="shared" si="4"/>
        <v>1200</v>
      </c>
      <c r="H16" s="34">
        <f t="shared" si="4"/>
        <v>1200</v>
      </c>
      <c r="I16" s="34">
        <f t="shared" si="4"/>
        <v>1200</v>
      </c>
      <c r="J16" s="34">
        <f t="shared" si="4"/>
        <v>1200</v>
      </c>
      <c r="K16" s="34">
        <f t="shared" si="4"/>
        <v>1200</v>
      </c>
      <c r="L16" s="34">
        <f t="shared" si="4"/>
        <v>1200</v>
      </c>
      <c r="M16" s="34">
        <f t="shared" si="4"/>
        <v>1200</v>
      </c>
      <c r="N16" s="34">
        <f t="shared" si="0"/>
        <v>14400</v>
      </c>
    </row>
    <row r="17" spans="1:14" ht="15" customHeight="1" x14ac:dyDescent="0.25">
      <c r="A17" s="8" t="s">
        <v>54</v>
      </c>
      <c r="B17" s="9">
        <f>B16*Assumptions!$C$11</f>
        <v>240</v>
      </c>
      <c r="C17" s="9">
        <f>C16*Assumptions!$C$11</f>
        <v>240</v>
      </c>
      <c r="D17" s="9">
        <f>D16*Assumptions!$C$11</f>
        <v>240</v>
      </c>
      <c r="E17" s="9">
        <f>E16*Assumptions!$C$11</f>
        <v>240</v>
      </c>
      <c r="F17" s="9">
        <f>F16*Assumptions!$C$11</f>
        <v>240</v>
      </c>
      <c r="G17" s="9">
        <f>G16*Assumptions!$C$11</f>
        <v>240</v>
      </c>
      <c r="H17" s="9">
        <f>H16*Assumptions!$C$11</f>
        <v>240</v>
      </c>
      <c r="I17" s="9">
        <f>I16*Assumptions!$C$11</f>
        <v>240</v>
      </c>
      <c r="J17" s="9">
        <f>J16*Assumptions!$C$11</f>
        <v>240</v>
      </c>
      <c r="K17" s="9">
        <f>K16*Assumptions!$C$11</f>
        <v>240</v>
      </c>
      <c r="L17" s="9">
        <f>L16*Assumptions!$C$11</f>
        <v>240</v>
      </c>
      <c r="M17" s="9">
        <f>M16*Assumptions!$C$11</f>
        <v>240</v>
      </c>
      <c r="N17" s="35">
        <f t="shared" si="0"/>
        <v>2880</v>
      </c>
    </row>
    <row r="18" spans="1:14" ht="15" customHeight="1" x14ac:dyDescent="0.25">
      <c r="A18" s="14" t="s">
        <v>6</v>
      </c>
      <c r="B18" s="34">
        <f t="shared" ref="B18:M18" si="5">B16-B17</f>
        <v>960</v>
      </c>
      <c r="C18" s="34">
        <f t="shared" si="5"/>
        <v>960</v>
      </c>
      <c r="D18" s="34">
        <f t="shared" si="5"/>
        <v>960</v>
      </c>
      <c r="E18" s="34">
        <f t="shared" si="5"/>
        <v>960</v>
      </c>
      <c r="F18" s="34">
        <f t="shared" si="5"/>
        <v>960</v>
      </c>
      <c r="G18" s="34">
        <f t="shared" si="5"/>
        <v>960</v>
      </c>
      <c r="H18" s="34">
        <f t="shared" si="5"/>
        <v>960</v>
      </c>
      <c r="I18" s="34">
        <f t="shared" si="5"/>
        <v>960</v>
      </c>
      <c r="J18" s="34">
        <f t="shared" si="5"/>
        <v>960</v>
      </c>
      <c r="K18" s="34">
        <f t="shared" si="5"/>
        <v>960</v>
      </c>
      <c r="L18" s="34">
        <f t="shared" si="5"/>
        <v>960</v>
      </c>
      <c r="M18" s="34">
        <f t="shared" si="5"/>
        <v>960</v>
      </c>
      <c r="N18" s="34">
        <f t="shared" si="0"/>
        <v>11520</v>
      </c>
    </row>
    <row r="20" spans="1:14" ht="15" customHeight="1" x14ac:dyDescent="0.25">
      <c r="A20" s="14" t="s">
        <v>111</v>
      </c>
      <c r="B20" s="55">
        <f>N8-(Assumptions!$B$23*(1+Assumptions!$C$7))</f>
        <v>0</v>
      </c>
      <c r="C20" s="4" t="s">
        <v>112</v>
      </c>
    </row>
    <row r="21" spans="1:14" ht="15" customHeight="1" x14ac:dyDescent="0.25">
      <c r="B21" s="55">
        <f>N18-((Assumptions!$B$23*(1+Assumptions!$C$7)-Assumptions!$B$23*(1+Assumptions!$C$7)*Assumptions!$C$8-Assumptions!$B$23*(1+Assumptions!$C$7)*Assumptions!$C$9-Assumptions!$B$23*(1+Assumptions!$C$7)*Assumptions!$C$10-Assumptions!$B$26*Assumptions!$C$12)*(1-Assumptions!$C$11))</f>
        <v>0</v>
      </c>
      <c r="C21" s="4" t="s">
        <v>113</v>
      </c>
    </row>
  </sheetData>
  <mergeCells count="1">
    <mergeCell ref="A2:M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6" customWidth="1"/>
    <col min="2" max="13" width="11" customWidth="1"/>
    <col min="14" max="14" width="12" customWidth="1"/>
  </cols>
  <sheetData>
    <row r="1" spans="1:14" ht="17.25" customHeight="1" x14ac:dyDescent="0.25">
      <c r="A1" s="3" t="s">
        <v>114</v>
      </c>
    </row>
    <row r="2" spans="1:14" ht="15" customHeight="1" x14ac:dyDescent="0.25">
      <c r="A2" s="2" t="s">
        <v>115</v>
      </c>
      <c r="B2" s="2"/>
      <c r="C2" s="2"/>
      <c r="D2" s="2"/>
      <c r="E2" s="2"/>
      <c r="F2" s="2"/>
      <c r="G2" s="2"/>
      <c r="H2" s="2"/>
      <c r="I2" s="2"/>
      <c r="J2" s="2"/>
      <c r="K2" s="2"/>
      <c r="L2" s="2"/>
      <c r="M2" s="2"/>
      <c r="N2" s="2"/>
    </row>
    <row r="3" spans="1:14" ht="15" customHeight="1" x14ac:dyDescent="0.25">
      <c r="A3" s="2"/>
      <c r="B3" s="2"/>
      <c r="C3" s="2"/>
      <c r="D3" s="2"/>
      <c r="E3" s="2"/>
      <c r="F3" s="2"/>
      <c r="G3" s="2"/>
      <c r="H3" s="2"/>
      <c r="I3" s="2"/>
      <c r="J3" s="2"/>
      <c r="K3" s="2"/>
      <c r="L3" s="2"/>
      <c r="M3" s="2"/>
      <c r="N3" s="2"/>
    </row>
    <row r="4" spans="1:14" ht="15" customHeight="1" x14ac:dyDescent="0.25">
      <c r="A4" s="2"/>
      <c r="B4" s="2"/>
      <c r="C4" s="2"/>
      <c r="D4" s="2"/>
      <c r="E4" s="2"/>
      <c r="F4" s="2"/>
      <c r="G4" s="2"/>
      <c r="H4" s="2"/>
      <c r="I4" s="2"/>
      <c r="J4" s="2"/>
      <c r="K4" s="2"/>
      <c r="L4" s="2"/>
      <c r="M4" s="2"/>
      <c r="N4" s="2"/>
    </row>
    <row r="5" spans="1:14" ht="15" customHeight="1" x14ac:dyDescent="0.25">
      <c r="B5" s="12" t="s">
        <v>98</v>
      </c>
      <c r="C5" s="12" t="s">
        <v>99</v>
      </c>
      <c r="D5" s="12" t="s">
        <v>100</v>
      </c>
      <c r="E5" s="12" t="s">
        <v>101</v>
      </c>
      <c r="F5" s="12" t="s">
        <v>102</v>
      </c>
      <c r="G5" s="12" t="s">
        <v>103</v>
      </c>
      <c r="H5" s="12" t="s">
        <v>104</v>
      </c>
      <c r="I5" s="12" t="s">
        <v>105</v>
      </c>
      <c r="J5" s="12" t="s">
        <v>106</v>
      </c>
      <c r="K5" s="12" t="s">
        <v>107</v>
      </c>
      <c r="L5" s="12" t="s">
        <v>108</v>
      </c>
      <c r="M5" s="12" t="s">
        <v>109</v>
      </c>
      <c r="N5" s="12" t="s">
        <v>116</v>
      </c>
    </row>
    <row r="7" spans="1:14" ht="15" customHeight="1" x14ac:dyDescent="0.25">
      <c r="A7" s="5" t="s">
        <v>5</v>
      </c>
      <c r="B7" s="6"/>
      <c r="C7" s="6"/>
      <c r="D7" s="6"/>
      <c r="E7" s="6"/>
      <c r="F7" s="6"/>
      <c r="G7" s="6"/>
      <c r="H7" s="6"/>
      <c r="I7" s="6"/>
      <c r="J7" s="6"/>
      <c r="K7" s="6"/>
      <c r="L7" s="6"/>
      <c r="M7" s="6"/>
      <c r="N7" s="6"/>
    </row>
    <row r="8" spans="1:14" ht="15" customHeight="1" x14ac:dyDescent="0.25">
      <c r="A8" s="8" t="s">
        <v>117</v>
      </c>
      <c r="B8" s="32">
        <f>'Monthly Forecast'!B8</f>
        <v>9000</v>
      </c>
      <c r="C8" s="32">
        <f>'Monthly Forecast'!C8</f>
        <v>9000</v>
      </c>
      <c r="D8" s="32">
        <f>'Monthly Forecast'!D8</f>
        <v>9000</v>
      </c>
      <c r="E8" s="32">
        <f>'Monthly Forecast'!E8</f>
        <v>9000</v>
      </c>
      <c r="F8" s="32">
        <f>'Monthly Forecast'!F8</f>
        <v>9000</v>
      </c>
      <c r="G8" s="32">
        <f>'Monthly Forecast'!G8</f>
        <v>9000</v>
      </c>
      <c r="H8" s="32">
        <f>'Monthly Forecast'!H8</f>
        <v>9000</v>
      </c>
      <c r="I8" s="32">
        <f>'Monthly Forecast'!I8</f>
        <v>9000</v>
      </c>
      <c r="J8" s="32">
        <f>'Monthly Forecast'!J8</f>
        <v>9000</v>
      </c>
      <c r="K8" s="32">
        <f>'Monthly Forecast'!K8</f>
        <v>9000</v>
      </c>
      <c r="L8" s="32">
        <f>'Monthly Forecast'!L8</f>
        <v>9000</v>
      </c>
      <c r="M8" s="32">
        <f>'Monthly Forecast'!M8</f>
        <v>9000</v>
      </c>
      <c r="N8" s="32">
        <f>SUM(B8:M8)</f>
        <v>108000</v>
      </c>
    </row>
    <row r="9" spans="1:14" ht="15" customHeight="1" x14ac:dyDescent="0.25">
      <c r="A9" s="8" t="s">
        <v>118</v>
      </c>
      <c r="B9" s="56"/>
      <c r="C9" s="56"/>
      <c r="D9" s="56"/>
      <c r="E9" s="56"/>
      <c r="F9" s="56"/>
      <c r="G9" s="56"/>
      <c r="H9" s="56"/>
      <c r="I9" s="56"/>
      <c r="J9" s="56"/>
      <c r="K9" s="56"/>
      <c r="L9" s="56"/>
      <c r="M9" s="56"/>
      <c r="N9" s="29" t="str">
        <f>IF(COUNT(B9:M9)=0,"",SUM(B9:M9))</f>
        <v/>
      </c>
    </row>
    <row r="10" spans="1:14" ht="15" customHeight="1" x14ac:dyDescent="0.25">
      <c r="A10" s="8" t="s">
        <v>119</v>
      </c>
      <c r="B10" s="57">
        <f t="shared" ref="B10:M10" si="0">IF(ISBLANK(B9),B8,B9)</f>
        <v>9000</v>
      </c>
      <c r="C10" s="57">
        <f t="shared" si="0"/>
        <v>9000</v>
      </c>
      <c r="D10" s="57">
        <f t="shared" si="0"/>
        <v>9000</v>
      </c>
      <c r="E10" s="57">
        <f t="shared" si="0"/>
        <v>9000</v>
      </c>
      <c r="F10" s="57">
        <f t="shared" si="0"/>
        <v>9000</v>
      </c>
      <c r="G10" s="57">
        <f t="shared" si="0"/>
        <v>9000</v>
      </c>
      <c r="H10" s="57">
        <f t="shared" si="0"/>
        <v>9000</v>
      </c>
      <c r="I10" s="57">
        <f t="shared" si="0"/>
        <v>9000</v>
      </c>
      <c r="J10" s="57">
        <f t="shared" si="0"/>
        <v>9000</v>
      </c>
      <c r="K10" s="57">
        <f t="shared" si="0"/>
        <v>9000</v>
      </c>
      <c r="L10" s="57">
        <f t="shared" si="0"/>
        <v>9000</v>
      </c>
      <c r="M10" s="57">
        <f t="shared" si="0"/>
        <v>9000</v>
      </c>
      <c r="N10" s="57">
        <f>SUM(B10:M10)</f>
        <v>108000</v>
      </c>
    </row>
    <row r="11" spans="1:14" ht="15" customHeight="1" x14ac:dyDescent="0.25">
      <c r="A11" s="8" t="s">
        <v>120</v>
      </c>
      <c r="B11" s="35" t="str">
        <f t="shared" ref="B11:M11" si="1">IF(ISBLANK(B9),"n/a",B9-B8)</f>
        <v>n/a</v>
      </c>
      <c r="C11" s="35" t="str">
        <f t="shared" si="1"/>
        <v>n/a</v>
      </c>
      <c r="D11" s="35" t="str">
        <f t="shared" si="1"/>
        <v>n/a</v>
      </c>
      <c r="E11" s="35" t="str">
        <f t="shared" si="1"/>
        <v>n/a</v>
      </c>
      <c r="F11" s="35" t="str">
        <f t="shared" si="1"/>
        <v>n/a</v>
      </c>
      <c r="G11" s="35" t="str">
        <f t="shared" si="1"/>
        <v>n/a</v>
      </c>
      <c r="H11" s="35" t="str">
        <f t="shared" si="1"/>
        <v>n/a</v>
      </c>
      <c r="I11" s="35" t="str">
        <f t="shared" si="1"/>
        <v>n/a</v>
      </c>
      <c r="J11" s="35" t="str">
        <f t="shared" si="1"/>
        <v>n/a</v>
      </c>
      <c r="K11" s="35" t="str">
        <f t="shared" si="1"/>
        <v>n/a</v>
      </c>
      <c r="L11" s="35" t="str">
        <f t="shared" si="1"/>
        <v>n/a</v>
      </c>
      <c r="M11" s="35" t="str">
        <f t="shared" si="1"/>
        <v>n/a</v>
      </c>
      <c r="N11" s="35" t="str">
        <f>IF(COUNT($B$9:$M$9)=0,"n/a",SUM(B9:M9)-SUMIF($B$9:$M$9,"&lt;&gt;",B8:M8))</f>
        <v>n/a</v>
      </c>
    </row>
    <row r="12" spans="1:14" ht="15" customHeight="1" x14ac:dyDescent="0.25">
      <c r="A12" s="8" t="s">
        <v>121</v>
      </c>
      <c r="B12" s="58" t="str">
        <f t="shared" ref="B12:M12" si="2">IF(ISBLANK(B9),"n/a",IF(B8=0,"n/a",(B9-B8)/B8))</f>
        <v>n/a</v>
      </c>
      <c r="C12" s="58" t="str">
        <f t="shared" si="2"/>
        <v>n/a</v>
      </c>
      <c r="D12" s="58" t="str">
        <f t="shared" si="2"/>
        <v>n/a</v>
      </c>
      <c r="E12" s="58" t="str">
        <f t="shared" si="2"/>
        <v>n/a</v>
      </c>
      <c r="F12" s="58" t="str">
        <f t="shared" si="2"/>
        <v>n/a</v>
      </c>
      <c r="G12" s="58" t="str">
        <f t="shared" si="2"/>
        <v>n/a</v>
      </c>
      <c r="H12" s="58" t="str">
        <f t="shared" si="2"/>
        <v>n/a</v>
      </c>
      <c r="I12" s="58" t="str">
        <f t="shared" si="2"/>
        <v>n/a</v>
      </c>
      <c r="J12" s="58" t="str">
        <f t="shared" si="2"/>
        <v>n/a</v>
      </c>
      <c r="K12" s="58" t="str">
        <f t="shared" si="2"/>
        <v>n/a</v>
      </c>
      <c r="L12" s="58" t="str">
        <f t="shared" si="2"/>
        <v>n/a</v>
      </c>
      <c r="M12" s="58" t="str">
        <f t="shared" si="2"/>
        <v>n/a</v>
      </c>
      <c r="N12" s="58" t="str">
        <f>IF(N11="n/a","n/a",N11/SUMIF($B$9:$M$9,"&lt;&gt;",B8:M8))</f>
        <v>n/a</v>
      </c>
    </row>
    <row r="14" spans="1:14" ht="15" customHeight="1" x14ac:dyDescent="0.25">
      <c r="A14" s="5" t="s">
        <v>46</v>
      </c>
      <c r="B14" s="6"/>
      <c r="C14" s="6"/>
      <c r="D14" s="6"/>
      <c r="E14" s="6"/>
      <c r="F14" s="6"/>
      <c r="G14" s="6"/>
      <c r="H14" s="6"/>
      <c r="I14" s="6"/>
      <c r="J14" s="6"/>
      <c r="K14" s="6"/>
      <c r="L14" s="6"/>
      <c r="M14" s="6"/>
      <c r="N14" s="6"/>
    </row>
    <row r="15" spans="1:14" ht="15" customHeight="1" x14ac:dyDescent="0.25">
      <c r="A15" s="8" t="s">
        <v>117</v>
      </c>
      <c r="B15" s="32">
        <f>'Monthly Forecast'!B9</f>
        <v>5400</v>
      </c>
      <c r="C15" s="32">
        <f>'Monthly Forecast'!C9</f>
        <v>5400</v>
      </c>
      <c r="D15" s="32">
        <f>'Monthly Forecast'!D9</f>
        <v>5400</v>
      </c>
      <c r="E15" s="32">
        <f>'Monthly Forecast'!E9</f>
        <v>5400</v>
      </c>
      <c r="F15" s="32">
        <f>'Monthly Forecast'!F9</f>
        <v>5400</v>
      </c>
      <c r="G15" s="32">
        <f>'Monthly Forecast'!G9</f>
        <v>5400</v>
      </c>
      <c r="H15" s="32">
        <f>'Monthly Forecast'!H9</f>
        <v>5400</v>
      </c>
      <c r="I15" s="32">
        <f>'Monthly Forecast'!I9</f>
        <v>5400</v>
      </c>
      <c r="J15" s="32">
        <f>'Monthly Forecast'!J9</f>
        <v>5400</v>
      </c>
      <c r="K15" s="32">
        <f>'Monthly Forecast'!K9</f>
        <v>5400</v>
      </c>
      <c r="L15" s="32">
        <f>'Monthly Forecast'!L9</f>
        <v>5400</v>
      </c>
      <c r="M15" s="32">
        <f>'Monthly Forecast'!M9</f>
        <v>5400</v>
      </c>
      <c r="N15" s="32">
        <f>SUM(B15:M15)</f>
        <v>64800</v>
      </c>
    </row>
    <row r="16" spans="1:14" ht="15" customHeight="1" x14ac:dyDescent="0.25">
      <c r="A16" s="8" t="s">
        <v>118</v>
      </c>
      <c r="B16" s="56"/>
      <c r="C16" s="56"/>
      <c r="D16" s="56"/>
      <c r="E16" s="56"/>
      <c r="F16" s="56"/>
      <c r="G16" s="56"/>
      <c r="H16" s="56"/>
      <c r="I16" s="56"/>
      <c r="J16" s="56"/>
      <c r="K16" s="56"/>
      <c r="L16" s="56"/>
      <c r="M16" s="56"/>
      <c r="N16" s="29" t="str">
        <f>IF(COUNT(B16:M16)=0,"",SUM(B16:M16))</f>
        <v/>
      </c>
    </row>
    <row r="17" spans="1:14" ht="15" customHeight="1" x14ac:dyDescent="0.25">
      <c r="A17" s="8" t="s">
        <v>119</v>
      </c>
      <c r="B17" s="57">
        <f t="shared" ref="B17:M17" si="3">IF(ISBLANK(B16),B15,B16)</f>
        <v>5400</v>
      </c>
      <c r="C17" s="57">
        <f t="shared" si="3"/>
        <v>5400</v>
      </c>
      <c r="D17" s="57">
        <f t="shared" si="3"/>
        <v>5400</v>
      </c>
      <c r="E17" s="57">
        <f t="shared" si="3"/>
        <v>5400</v>
      </c>
      <c r="F17" s="57">
        <f t="shared" si="3"/>
        <v>5400</v>
      </c>
      <c r="G17" s="57">
        <f t="shared" si="3"/>
        <v>5400</v>
      </c>
      <c r="H17" s="57">
        <f t="shared" si="3"/>
        <v>5400</v>
      </c>
      <c r="I17" s="57">
        <f t="shared" si="3"/>
        <v>5400</v>
      </c>
      <c r="J17" s="57">
        <f t="shared" si="3"/>
        <v>5400</v>
      </c>
      <c r="K17" s="57">
        <f t="shared" si="3"/>
        <v>5400</v>
      </c>
      <c r="L17" s="57">
        <f t="shared" si="3"/>
        <v>5400</v>
      </c>
      <c r="M17" s="57">
        <f t="shared" si="3"/>
        <v>5400</v>
      </c>
      <c r="N17" s="57">
        <f>SUM(B17:M17)</f>
        <v>64800</v>
      </c>
    </row>
    <row r="18" spans="1:14" ht="15" customHeight="1" x14ac:dyDescent="0.25">
      <c r="A18" s="8" t="s">
        <v>120</v>
      </c>
      <c r="B18" s="35" t="str">
        <f t="shared" ref="B18:M18" si="4">IF(ISBLANK(B16),"n/a",B16-B15)</f>
        <v>n/a</v>
      </c>
      <c r="C18" s="35" t="str">
        <f t="shared" si="4"/>
        <v>n/a</v>
      </c>
      <c r="D18" s="35" t="str">
        <f t="shared" si="4"/>
        <v>n/a</v>
      </c>
      <c r="E18" s="35" t="str">
        <f t="shared" si="4"/>
        <v>n/a</v>
      </c>
      <c r="F18" s="35" t="str">
        <f t="shared" si="4"/>
        <v>n/a</v>
      </c>
      <c r="G18" s="35" t="str">
        <f t="shared" si="4"/>
        <v>n/a</v>
      </c>
      <c r="H18" s="35" t="str">
        <f t="shared" si="4"/>
        <v>n/a</v>
      </c>
      <c r="I18" s="35" t="str">
        <f t="shared" si="4"/>
        <v>n/a</v>
      </c>
      <c r="J18" s="35" t="str">
        <f t="shared" si="4"/>
        <v>n/a</v>
      </c>
      <c r="K18" s="35" t="str">
        <f t="shared" si="4"/>
        <v>n/a</v>
      </c>
      <c r="L18" s="35" t="str">
        <f t="shared" si="4"/>
        <v>n/a</v>
      </c>
      <c r="M18" s="35" t="str">
        <f t="shared" si="4"/>
        <v>n/a</v>
      </c>
      <c r="N18" s="35" t="str">
        <f>IF(COUNT($B$9:$M$9)=0,"n/a",SUM(B16:M16)-SUMIF($B$9:$M$9,"&lt;&gt;",B15:M15))</f>
        <v>n/a</v>
      </c>
    </row>
    <row r="19" spans="1:14" ht="15" customHeight="1" x14ac:dyDescent="0.25">
      <c r="A19" s="8" t="s">
        <v>121</v>
      </c>
      <c r="B19" s="58" t="str">
        <f t="shared" ref="B19:M19" si="5">IF(ISBLANK(B16),"n/a",IF(B15=0,"n/a",(B16-B15)/B15))</f>
        <v>n/a</v>
      </c>
      <c r="C19" s="58" t="str">
        <f t="shared" si="5"/>
        <v>n/a</v>
      </c>
      <c r="D19" s="58" t="str">
        <f t="shared" si="5"/>
        <v>n/a</v>
      </c>
      <c r="E19" s="58" t="str">
        <f t="shared" si="5"/>
        <v>n/a</v>
      </c>
      <c r="F19" s="58" t="str">
        <f t="shared" si="5"/>
        <v>n/a</v>
      </c>
      <c r="G19" s="58" t="str">
        <f t="shared" si="5"/>
        <v>n/a</v>
      </c>
      <c r="H19" s="58" t="str">
        <f t="shared" si="5"/>
        <v>n/a</v>
      </c>
      <c r="I19" s="58" t="str">
        <f t="shared" si="5"/>
        <v>n/a</v>
      </c>
      <c r="J19" s="58" t="str">
        <f t="shared" si="5"/>
        <v>n/a</v>
      </c>
      <c r="K19" s="58" t="str">
        <f t="shared" si="5"/>
        <v>n/a</v>
      </c>
      <c r="L19" s="58" t="str">
        <f t="shared" si="5"/>
        <v>n/a</v>
      </c>
      <c r="M19" s="58" t="str">
        <f t="shared" si="5"/>
        <v>n/a</v>
      </c>
      <c r="N19" s="58" t="str">
        <f>IF(N18="n/a","n/a",N18/SUMIF($B$9:$M$9,"&lt;&gt;",B15:M15))</f>
        <v>n/a</v>
      </c>
    </row>
    <row r="21" spans="1:14" ht="15" customHeight="1" x14ac:dyDescent="0.25">
      <c r="A21" s="5" t="s">
        <v>47</v>
      </c>
      <c r="B21" s="6"/>
      <c r="C21" s="6"/>
      <c r="D21" s="6"/>
      <c r="E21" s="6"/>
      <c r="F21" s="6"/>
      <c r="G21" s="6"/>
      <c r="H21" s="6"/>
      <c r="I21" s="6"/>
      <c r="J21" s="6"/>
      <c r="K21" s="6"/>
      <c r="L21" s="6"/>
      <c r="M21" s="6"/>
      <c r="N21" s="6"/>
    </row>
    <row r="22" spans="1:14" ht="15" customHeight="1" x14ac:dyDescent="0.25">
      <c r="A22" s="8" t="s">
        <v>117</v>
      </c>
      <c r="B22" s="57">
        <f t="shared" ref="B22:M22" si="6">B8-B15</f>
        <v>3600</v>
      </c>
      <c r="C22" s="57">
        <f t="shared" si="6"/>
        <v>3600</v>
      </c>
      <c r="D22" s="57">
        <f t="shared" si="6"/>
        <v>3600</v>
      </c>
      <c r="E22" s="57">
        <f t="shared" si="6"/>
        <v>3600</v>
      </c>
      <c r="F22" s="57">
        <f t="shared" si="6"/>
        <v>3600</v>
      </c>
      <c r="G22" s="57">
        <f t="shared" si="6"/>
        <v>3600</v>
      </c>
      <c r="H22" s="57">
        <f t="shared" si="6"/>
        <v>3600</v>
      </c>
      <c r="I22" s="57">
        <f t="shared" si="6"/>
        <v>3600</v>
      </c>
      <c r="J22" s="57">
        <f t="shared" si="6"/>
        <v>3600</v>
      </c>
      <c r="K22" s="57">
        <f t="shared" si="6"/>
        <v>3600</v>
      </c>
      <c r="L22" s="57">
        <f t="shared" si="6"/>
        <v>3600</v>
      </c>
      <c r="M22" s="57">
        <f t="shared" si="6"/>
        <v>3600</v>
      </c>
      <c r="N22" s="57">
        <f>SUM(B22:M22)</f>
        <v>43200</v>
      </c>
    </row>
    <row r="23" spans="1:14" ht="15" customHeight="1" x14ac:dyDescent="0.25">
      <c r="A23" s="8" t="s">
        <v>122</v>
      </c>
      <c r="B23" s="57" t="str">
        <f t="shared" ref="B23:M23" si="7">IF(OR(ISBLANK(B9),ISBLANK(B16)),"",B9-B16)</f>
        <v/>
      </c>
      <c r="C23" s="57" t="str">
        <f t="shared" si="7"/>
        <v/>
      </c>
      <c r="D23" s="57" t="str">
        <f t="shared" si="7"/>
        <v/>
      </c>
      <c r="E23" s="57" t="str">
        <f t="shared" si="7"/>
        <v/>
      </c>
      <c r="F23" s="57" t="str">
        <f t="shared" si="7"/>
        <v/>
      </c>
      <c r="G23" s="57" t="str">
        <f t="shared" si="7"/>
        <v/>
      </c>
      <c r="H23" s="57" t="str">
        <f t="shared" si="7"/>
        <v/>
      </c>
      <c r="I23" s="57" t="str">
        <f t="shared" si="7"/>
        <v/>
      </c>
      <c r="J23" s="57" t="str">
        <f t="shared" si="7"/>
        <v/>
      </c>
      <c r="K23" s="57" t="str">
        <f t="shared" si="7"/>
        <v/>
      </c>
      <c r="L23" s="57" t="str">
        <f t="shared" si="7"/>
        <v/>
      </c>
      <c r="M23" s="57" t="str">
        <f t="shared" si="7"/>
        <v/>
      </c>
      <c r="N23" s="57" t="str">
        <f>IF(COUNT($B$9:$M$9)=0,"",SUM(B23:M23))</f>
        <v/>
      </c>
    </row>
    <row r="24" spans="1:14" ht="15" customHeight="1" x14ac:dyDescent="0.25">
      <c r="A24" s="8" t="s">
        <v>119</v>
      </c>
      <c r="B24" s="57">
        <f t="shared" ref="B24:M24" si="8">IF(OR(ISBLANK(B9),ISBLANK(B16)),B22,B23)</f>
        <v>3600</v>
      </c>
      <c r="C24" s="57">
        <f t="shared" si="8"/>
        <v>3600</v>
      </c>
      <c r="D24" s="57">
        <f t="shared" si="8"/>
        <v>3600</v>
      </c>
      <c r="E24" s="57">
        <f t="shared" si="8"/>
        <v>3600</v>
      </c>
      <c r="F24" s="57">
        <f t="shared" si="8"/>
        <v>3600</v>
      </c>
      <c r="G24" s="57">
        <f t="shared" si="8"/>
        <v>3600</v>
      </c>
      <c r="H24" s="57">
        <f t="shared" si="8"/>
        <v>3600</v>
      </c>
      <c r="I24" s="57">
        <f t="shared" si="8"/>
        <v>3600</v>
      </c>
      <c r="J24" s="57">
        <f t="shared" si="8"/>
        <v>3600</v>
      </c>
      <c r="K24" s="57">
        <f t="shared" si="8"/>
        <v>3600</v>
      </c>
      <c r="L24" s="57">
        <f t="shared" si="8"/>
        <v>3600</v>
      </c>
      <c r="M24" s="57">
        <f t="shared" si="8"/>
        <v>3600</v>
      </c>
      <c r="N24" s="57">
        <f>SUM(B24:M24)</f>
        <v>43200</v>
      </c>
    </row>
    <row r="25" spans="1:14" ht="15" customHeight="1" x14ac:dyDescent="0.25">
      <c r="A25" s="8" t="s">
        <v>120</v>
      </c>
      <c r="B25" s="35" t="str">
        <f t="shared" ref="B25:M25" si="9">IF(OR(ISBLANK(B9),ISBLANK(B16)),"n/a",B23-B22)</f>
        <v>n/a</v>
      </c>
      <c r="C25" s="35" t="str">
        <f t="shared" si="9"/>
        <v>n/a</v>
      </c>
      <c r="D25" s="35" t="str">
        <f t="shared" si="9"/>
        <v>n/a</v>
      </c>
      <c r="E25" s="35" t="str">
        <f t="shared" si="9"/>
        <v>n/a</v>
      </c>
      <c r="F25" s="35" t="str">
        <f t="shared" si="9"/>
        <v>n/a</v>
      </c>
      <c r="G25" s="35" t="str">
        <f t="shared" si="9"/>
        <v>n/a</v>
      </c>
      <c r="H25" s="35" t="str">
        <f t="shared" si="9"/>
        <v>n/a</v>
      </c>
      <c r="I25" s="35" t="str">
        <f t="shared" si="9"/>
        <v>n/a</v>
      </c>
      <c r="J25" s="35" t="str">
        <f t="shared" si="9"/>
        <v>n/a</v>
      </c>
      <c r="K25" s="35" t="str">
        <f t="shared" si="9"/>
        <v>n/a</v>
      </c>
      <c r="L25" s="35" t="str">
        <f t="shared" si="9"/>
        <v>n/a</v>
      </c>
      <c r="M25" s="35" t="str">
        <f t="shared" si="9"/>
        <v>n/a</v>
      </c>
      <c r="N25" s="35" t="str">
        <f>IF(COUNT($B$9:$M$9)=0,"n/a",N23-SUMIF($B$9:$M$9,"&lt;&gt;",B22:M22))</f>
        <v>n/a</v>
      </c>
    </row>
    <row r="26" spans="1:14" ht="15" customHeight="1" x14ac:dyDescent="0.25">
      <c r="A26" s="8" t="s">
        <v>121</v>
      </c>
      <c r="B26" s="58" t="str">
        <f t="shared" ref="B26:M26" si="10">IF(OR(ISBLANK(B9),ISBLANK(B16)),"n/a",IF(B22=0,"n/a",(B23-B22)/B22))</f>
        <v>n/a</v>
      </c>
      <c r="C26" s="58" t="str">
        <f t="shared" si="10"/>
        <v>n/a</v>
      </c>
      <c r="D26" s="58" t="str">
        <f t="shared" si="10"/>
        <v>n/a</v>
      </c>
      <c r="E26" s="58" t="str">
        <f t="shared" si="10"/>
        <v>n/a</v>
      </c>
      <c r="F26" s="58" t="str">
        <f t="shared" si="10"/>
        <v>n/a</v>
      </c>
      <c r="G26" s="58" t="str">
        <f t="shared" si="10"/>
        <v>n/a</v>
      </c>
      <c r="H26" s="58" t="str">
        <f t="shared" si="10"/>
        <v>n/a</v>
      </c>
      <c r="I26" s="58" t="str">
        <f t="shared" si="10"/>
        <v>n/a</v>
      </c>
      <c r="J26" s="58" t="str">
        <f t="shared" si="10"/>
        <v>n/a</v>
      </c>
      <c r="K26" s="58" t="str">
        <f t="shared" si="10"/>
        <v>n/a</v>
      </c>
      <c r="L26" s="58" t="str">
        <f t="shared" si="10"/>
        <v>n/a</v>
      </c>
      <c r="M26" s="58" t="str">
        <f t="shared" si="10"/>
        <v>n/a</v>
      </c>
      <c r="N26" s="58" t="str">
        <f>IF(N25="n/a","n/a",N25/SUMIF($B$9:$M$9,"&lt;&gt;",B22:M22))</f>
        <v>n/a</v>
      </c>
    </row>
    <row r="28" spans="1:14" ht="15" customHeight="1" x14ac:dyDescent="0.25">
      <c r="A28" s="5" t="s">
        <v>123</v>
      </c>
      <c r="B28" s="6"/>
      <c r="C28" s="6"/>
      <c r="D28" s="6"/>
      <c r="E28" s="6"/>
      <c r="F28" s="6"/>
      <c r="G28" s="6"/>
      <c r="H28" s="6"/>
      <c r="I28" s="6"/>
      <c r="J28" s="6"/>
      <c r="K28" s="6"/>
      <c r="L28" s="6"/>
      <c r="M28" s="6"/>
      <c r="N28" s="6"/>
    </row>
    <row r="29" spans="1:14" ht="15" customHeight="1" x14ac:dyDescent="0.25">
      <c r="A29" s="8" t="s">
        <v>124</v>
      </c>
      <c r="B29" s="58">
        <f t="shared" ref="B29:N29" si="11">IF(B8=0,"n/a",B22/B8)</f>
        <v>0.4</v>
      </c>
      <c r="C29" s="58">
        <f t="shared" si="11"/>
        <v>0.4</v>
      </c>
      <c r="D29" s="58">
        <f t="shared" si="11"/>
        <v>0.4</v>
      </c>
      <c r="E29" s="58">
        <f t="shared" si="11"/>
        <v>0.4</v>
      </c>
      <c r="F29" s="58">
        <f t="shared" si="11"/>
        <v>0.4</v>
      </c>
      <c r="G29" s="58">
        <f t="shared" si="11"/>
        <v>0.4</v>
      </c>
      <c r="H29" s="58">
        <f t="shared" si="11"/>
        <v>0.4</v>
      </c>
      <c r="I29" s="58">
        <f t="shared" si="11"/>
        <v>0.4</v>
      </c>
      <c r="J29" s="58">
        <f t="shared" si="11"/>
        <v>0.4</v>
      </c>
      <c r="K29" s="58">
        <f t="shared" si="11"/>
        <v>0.4</v>
      </c>
      <c r="L29" s="58">
        <f t="shared" si="11"/>
        <v>0.4</v>
      </c>
      <c r="M29" s="58">
        <f t="shared" si="11"/>
        <v>0.4</v>
      </c>
      <c r="N29" s="58">
        <f t="shared" si="11"/>
        <v>0.4</v>
      </c>
    </row>
    <row r="30" spans="1:14" ht="15" customHeight="1" x14ac:dyDescent="0.25">
      <c r="A30" s="8" t="s">
        <v>125</v>
      </c>
      <c r="B30" s="58" t="str">
        <f t="shared" ref="B30:M30" si="12">IF(OR(ISBLANK(B9),ISBLANK(B16)),"n/a",IF(B9=0,"n/a",B23/B9))</f>
        <v>n/a</v>
      </c>
      <c r="C30" s="58" t="str">
        <f t="shared" si="12"/>
        <v>n/a</v>
      </c>
      <c r="D30" s="58" t="str">
        <f t="shared" si="12"/>
        <v>n/a</v>
      </c>
      <c r="E30" s="58" t="str">
        <f t="shared" si="12"/>
        <v>n/a</v>
      </c>
      <c r="F30" s="58" t="str">
        <f t="shared" si="12"/>
        <v>n/a</v>
      </c>
      <c r="G30" s="58" t="str">
        <f t="shared" si="12"/>
        <v>n/a</v>
      </c>
      <c r="H30" s="58" t="str">
        <f t="shared" si="12"/>
        <v>n/a</v>
      </c>
      <c r="I30" s="58" t="str">
        <f t="shared" si="12"/>
        <v>n/a</v>
      </c>
      <c r="J30" s="58" t="str">
        <f t="shared" si="12"/>
        <v>n/a</v>
      </c>
      <c r="K30" s="58" t="str">
        <f t="shared" si="12"/>
        <v>n/a</v>
      </c>
      <c r="L30" s="58" t="str">
        <f t="shared" si="12"/>
        <v>n/a</v>
      </c>
      <c r="M30" s="58" t="str">
        <f t="shared" si="12"/>
        <v>n/a</v>
      </c>
      <c r="N30" s="58" t="str">
        <f>IF(COUNT($B$9:$M$9)=0,"n/a",IF(N9=0,"n/a",N23/N9))</f>
        <v>n/a</v>
      </c>
    </row>
    <row r="31" spans="1:14" ht="15" customHeight="1" x14ac:dyDescent="0.25">
      <c r="A31" s="8" t="s">
        <v>126</v>
      </c>
      <c r="B31" s="58" t="str">
        <f t="shared" ref="B31:N31" si="13">IF(B30="n/a","n/a",B30-B29)</f>
        <v>n/a</v>
      </c>
      <c r="C31" s="58" t="str">
        <f t="shared" si="13"/>
        <v>n/a</v>
      </c>
      <c r="D31" s="58" t="str">
        <f t="shared" si="13"/>
        <v>n/a</v>
      </c>
      <c r="E31" s="58" t="str">
        <f t="shared" si="13"/>
        <v>n/a</v>
      </c>
      <c r="F31" s="58" t="str">
        <f t="shared" si="13"/>
        <v>n/a</v>
      </c>
      <c r="G31" s="58" t="str">
        <f t="shared" si="13"/>
        <v>n/a</v>
      </c>
      <c r="H31" s="58" t="str">
        <f t="shared" si="13"/>
        <v>n/a</v>
      </c>
      <c r="I31" s="58" t="str">
        <f t="shared" si="13"/>
        <v>n/a</v>
      </c>
      <c r="J31" s="58" t="str">
        <f t="shared" si="13"/>
        <v>n/a</v>
      </c>
      <c r="K31" s="58" t="str">
        <f t="shared" si="13"/>
        <v>n/a</v>
      </c>
      <c r="L31" s="58" t="str">
        <f t="shared" si="13"/>
        <v>n/a</v>
      </c>
      <c r="M31" s="58" t="str">
        <f t="shared" si="13"/>
        <v>n/a</v>
      </c>
      <c r="N31" s="58" t="str">
        <f t="shared" si="13"/>
        <v>n/a</v>
      </c>
    </row>
    <row r="33" spans="1:14" ht="15" customHeight="1" x14ac:dyDescent="0.25">
      <c r="A33" s="5" t="s">
        <v>48</v>
      </c>
      <c r="B33" s="6"/>
      <c r="C33" s="6"/>
      <c r="D33" s="6"/>
      <c r="E33" s="6"/>
      <c r="F33" s="6"/>
      <c r="G33" s="6"/>
      <c r="H33" s="6"/>
      <c r="I33" s="6"/>
      <c r="J33" s="6"/>
      <c r="K33" s="6"/>
      <c r="L33" s="6"/>
      <c r="M33" s="6"/>
      <c r="N33" s="6"/>
    </row>
    <row r="34" spans="1:14" ht="15" customHeight="1" x14ac:dyDescent="0.25">
      <c r="A34" s="8" t="s">
        <v>117</v>
      </c>
      <c r="B34" s="32">
        <f>'Monthly Forecast'!B11</f>
        <v>1800</v>
      </c>
      <c r="C34" s="32">
        <f>'Monthly Forecast'!C11</f>
        <v>1800</v>
      </c>
      <c r="D34" s="32">
        <f>'Monthly Forecast'!D11</f>
        <v>1800</v>
      </c>
      <c r="E34" s="32">
        <f>'Monthly Forecast'!E11</f>
        <v>1800</v>
      </c>
      <c r="F34" s="32">
        <f>'Monthly Forecast'!F11</f>
        <v>1800</v>
      </c>
      <c r="G34" s="32">
        <f>'Monthly Forecast'!G11</f>
        <v>1800</v>
      </c>
      <c r="H34" s="32">
        <f>'Monthly Forecast'!H11</f>
        <v>1800</v>
      </c>
      <c r="I34" s="32">
        <f>'Monthly Forecast'!I11</f>
        <v>1800</v>
      </c>
      <c r="J34" s="32">
        <f>'Monthly Forecast'!J11</f>
        <v>1800</v>
      </c>
      <c r="K34" s="32">
        <f>'Monthly Forecast'!K11</f>
        <v>1800</v>
      </c>
      <c r="L34" s="32">
        <f>'Monthly Forecast'!L11</f>
        <v>1800</v>
      </c>
      <c r="M34" s="32">
        <f>'Monthly Forecast'!M11</f>
        <v>1800</v>
      </c>
      <c r="N34" s="32">
        <f>SUM(B34:M34)</f>
        <v>21600</v>
      </c>
    </row>
    <row r="35" spans="1:14" ht="15" customHeight="1" x14ac:dyDescent="0.25">
      <c r="A35" s="8" t="s">
        <v>118</v>
      </c>
      <c r="B35" s="56"/>
      <c r="C35" s="56"/>
      <c r="D35" s="56"/>
      <c r="E35" s="56"/>
      <c r="F35" s="56"/>
      <c r="G35" s="56"/>
      <c r="H35" s="56"/>
      <c r="I35" s="56"/>
      <c r="J35" s="56"/>
      <c r="K35" s="56"/>
      <c r="L35" s="56"/>
      <c r="M35" s="56"/>
      <c r="N35" s="29" t="str">
        <f>IF(COUNT(B35:M35)=0,"",SUM(B35:M35))</f>
        <v/>
      </c>
    </row>
    <row r="36" spans="1:14" ht="15" customHeight="1" x14ac:dyDescent="0.25">
      <c r="A36" s="8" t="s">
        <v>119</v>
      </c>
      <c r="B36" s="57">
        <f t="shared" ref="B36:M36" si="14">IF(ISBLANK(B35),B34,B35)</f>
        <v>1800</v>
      </c>
      <c r="C36" s="57">
        <f t="shared" si="14"/>
        <v>1800</v>
      </c>
      <c r="D36" s="57">
        <f t="shared" si="14"/>
        <v>1800</v>
      </c>
      <c r="E36" s="57">
        <f t="shared" si="14"/>
        <v>1800</v>
      </c>
      <c r="F36" s="57">
        <f t="shared" si="14"/>
        <v>1800</v>
      </c>
      <c r="G36" s="57">
        <f t="shared" si="14"/>
        <v>1800</v>
      </c>
      <c r="H36" s="57">
        <f t="shared" si="14"/>
        <v>1800</v>
      </c>
      <c r="I36" s="57">
        <f t="shared" si="14"/>
        <v>1800</v>
      </c>
      <c r="J36" s="57">
        <f t="shared" si="14"/>
        <v>1800</v>
      </c>
      <c r="K36" s="57">
        <f t="shared" si="14"/>
        <v>1800</v>
      </c>
      <c r="L36" s="57">
        <f t="shared" si="14"/>
        <v>1800</v>
      </c>
      <c r="M36" s="57">
        <f t="shared" si="14"/>
        <v>1800</v>
      </c>
      <c r="N36" s="57">
        <f>SUM(B36:M36)</f>
        <v>21600</v>
      </c>
    </row>
    <row r="37" spans="1:14" ht="15" customHeight="1" x14ac:dyDescent="0.25">
      <c r="A37" s="8" t="s">
        <v>120</v>
      </c>
      <c r="B37" s="35" t="str">
        <f t="shared" ref="B37:M37" si="15">IF(ISBLANK(B35),"n/a",B35-B34)</f>
        <v>n/a</v>
      </c>
      <c r="C37" s="35" t="str">
        <f t="shared" si="15"/>
        <v>n/a</v>
      </c>
      <c r="D37" s="35" t="str">
        <f t="shared" si="15"/>
        <v>n/a</v>
      </c>
      <c r="E37" s="35" t="str">
        <f t="shared" si="15"/>
        <v>n/a</v>
      </c>
      <c r="F37" s="35" t="str">
        <f t="shared" si="15"/>
        <v>n/a</v>
      </c>
      <c r="G37" s="35" t="str">
        <f t="shared" si="15"/>
        <v>n/a</v>
      </c>
      <c r="H37" s="35" t="str">
        <f t="shared" si="15"/>
        <v>n/a</v>
      </c>
      <c r="I37" s="35" t="str">
        <f t="shared" si="15"/>
        <v>n/a</v>
      </c>
      <c r="J37" s="35" t="str">
        <f t="shared" si="15"/>
        <v>n/a</v>
      </c>
      <c r="K37" s="35" t="str">
        <f t="shared" si="15"/>
        <v>n/a</v>
      </c>
      <c r="L37" s="35" t="str">
        <f t="shared" si="15"/>
        <v>n/a</v>
      </c>
      <c r="M37" s="35" t="str">
        <f t="shared" si="15"/>
        <v>n/a</v>
      </c>
      <c r="N37" s="35" t="str">
        <f>IF(COUNT($B$9:$M$9)=0,"n/a",SUM(B35:M35)-SUMIF($B$9:$M$9,"&lt;&gt;",B34:M34))</f>
        <v>n/a</v>
      </c>
    </row>
    <row r="38" spans="1:14" ht="15" customHeight="1" x14ac:dyDescent="0.25">
      <c r="A38" s="8" t="s">
        <v>121</v>
      </c>
      <c r="B38" s="58" t="str">
        <f t="shared" ref="B38:M38" si="16">IF(ISBLANK(B35),"n/a",IF(B34=0,"n/a",(B35-B34)/B34))</f>
        <v>n/a</v>
      </c>
      <c r="C38" s="58" t="str">
        <f t="shared" si="16"/>
        <v>n/a</v>
      </c>
      <c r="D38" s="58" t="str">
        <f t="shared" si="16"/>
        <v>n/a</v>
      </c>
      <c r="E38" s="58" t="str">
        <f t="shared" si="16"/>
        <v>n/a</v>
      </c>
      <c r="F38" s="58" t="str">
        <f t="shared" si="16"/>
        <v>n/a</v>
      </c>
      <c r="G38" s="58" t="str">
        <f t="shared" si="16"/>
        <v>n/a</v>
      </c>
      <c r="H38" s="58" t="str">
        <f t="shared" si="16"/>
        <v>n/a</v>
      </c>
      <c r="I38" s="58" t="str">
        <f t="shared" si="16"/>
        <v>n/a</v>
      </c>
      <c r="J38" s="58" t="str">
        <f t="shared" si="16"/>
        <v>n/a</v>
      </c>
      <c r="K38" s="58" t="str">
        <f t="shared" si="16"/>
        <v>n/a</v>
      </c>
      <c r="L38" s="58" t="str">
        <f t="shared" si="16"/>
        <v>n/a</v>
      </c>
      <c r="M38" s="58" t="str">
        <f t="shared" si="16"/>
        <v>n/a</v>
      </c>
      <c r="N38" s="58" t="str">
        <f>IF(N37="n/a","n/a",N37/SUMIF($B$9:$M$9,"&lt;&gt;",B34:M34))</f>
        <v>n/a</v>
      </c>
    </row>
    <row r="40" spans="1:14" ht="15" customHeight="1" x14ac:dyDescent="0.25">
      <c r="A40" s="5" t="s">
        <v>49</v>
      </c>
      <c r="B40" s="6"/>
      <c r="C40" s="6"/>
      <c r="D40" s="6"/>
      <c r="E40" s="6"/>
      <c r="F40" s="6"/>
      <c r="G40" s="6"/>
      <c r="H40" s="6"/>
      <c r="I40" s="6"/>
      <c r="J40" s="6"/>
      <c r="K40" s="6"/>
      <c r="L40" s="6"/>
      <c r="M40" s="6"/>
      <c r="N40" s="6"/>
    </row>
    <row r="41" spans="1:14" ht="15" customHeight="1" x14ac:dyDescent="0.25">
      <c r="A41" s="8" t="s">
        <v>117</v>
      </c>
      <c r="B41" s="57">
        <f t="shared" ref="B41:M41" si="17">B22-B34</f>
        <v>1800</v>
      </c>
      <c r="C41" s="57">
        <f t="shared" si="17"/>
        <v>1800</v>
      </c>
      <c r="D41" s="57">
        <f t="shared" si="17"/>
        <v>1800</v>
      </c>
      <c r="E41" s="57">
        <f t="shared" si="17"/>
        <v>1800</v>
      </c>
      <c r="F41" s="57">
        <f t="shared" si="17"/>
        <v>1800</v>
      </c>
      <c r="G41" s="57">
        <f t="shared" si="17"/>
        <v>1800</v>
      </c>
      <c r="H41" s="57">
        <f t="shared" si="17"/>
        <v>1800</v>
      </c>
      <c r="I41" s="57">
        <f t="shared" si="17"/>
        <v>1800</v>
      </c>
      <c r="J41" s="57">
        <f t="shared" si="17"/>
        <v>1800</v>
      </c>
      <c r="K41" s="57">
        <f t="shared" si="17"/>
        <v>1800</v>
      </c>
      <c r="L41" s="57">
        <f t="shared" si="17"/>
        <v>1800</v>
      </c>
      <c r="M41" s="57">
        <f t="shared" si="17"/>
        <v>1800</v>
      </c>
      <c r="N41" s="57">
        <f>SUM(B41:M41)</f>
        <v>21600</v>
      </c>
    </row>
    <row r="42" spans="1:14" ht="15" customHeight="1" x14ac:dyDescent="0.25">
      <c r="A42" s="8" t="s">
        <v>122</v>
      </c>
      <c r="B42" s="57" t="str">
        <f t="shared" ref="B42:M42" si="18">IF(OR(ISBLANK(B9),ISBLANK(B16),ISBLANK(B35)),"",B23-B35)</f>
        <v/>
      </c>
      <c r="C42" s="57" t="str">
        <f t="shared" si="18"/>
        <v/>
      </c>
      <c r="D42" s="57" t="str">
        <f t="shared" si="18"/>
        <v/>
      </c>
      <c r="E42" s="57" t="str">
        <f t="shared" si="18"/>
        <v/>
      </c>
      <c r="F42" s="57" t="str">
        <f t="shared" si="18"/>
        <v/>
      </c>
      <c r="G42" s="57" t="str">
        <f t="shared" si="18"/>
        <v/>
      </c>
      <c r="H42" s="57" t="str">
        <f t="shared" si="18"/>
        <v/>
      </c>
      <c r="I42" s="57" t="str">
        <f t="shared" si="18"/>
        <v/>
      </c>
      <c r="J42" s="57" t="str">
        <f t="shared" si="18"/>
        <v/>
      </c>
      <c r="K42" s="57" t="str">
        <f t="shared" si="18"/>
        <v/>
      </c>
      <c r="L42" s="57" t="str">
        <f t="shared" si="18"/>
        <v/>
      </c>
      <c r="M42" s="57" t="str">
        <f t="shared" si="18"/>
        <v/>
      </c>
      <c r="N42" s="57" t="str">
        <f>IF(COUNT($B$9:$M$9)=0,"",SUM(B42:M42))</f>
        <v/>
      </c>
    </row>
    <row r="43" spans="1:14" ht="15" customHeight="1" x14ac:dyDescent="0.25">
      <c r="A43" s="8" t="s">
        <v>119</v>
      </c>
      <c r="B43" s="57">
        <f t="shared" ref="B43:M43" si="19">IF(OR(ISBLANK(B9),ISBLANK(B16),ISBLANK(B35)),B41,B42)</f>
        <v>1800</v>
      </c>
      <c r="C43" s="57">
        <f t="shared" si="19"/>
        <v>1800</v>
      </c>
      <c r="D43" s="57">
        <f t="shared" si="19"/>
        <v>1800</v>
      </c>
      <c r="E43" s="57">
        <f t="shared" si="19"/>
        <v>1800</v>
      </c>
      <c r="F43" s="57">
        <f t="shared" si="19"/>
        <v>1800</v>
      </c>
      <c r="G43" s="57">
        <f t="shared" si="19"/>
        <v>1800</v>
      </c>
      <c r="H43" s="57">
        <f t="shared" si="19"/>
        <v>1800</v>
      </c>
      <c r="I43" s="57">
        <f t="shared" si="19"/>
        <v>1800</v>
      </c>
      <c r="J43" s="57">
        <f t="shared" si="19"/>
        <v>1800</v>
      </c>
      <c r="K43" s="57">
        <f t="shared" si="19"/>
        <v>1800</v>
      </c>
      <c r="L43" s="57">
        <f t="shared" si="19"/>
        <v>1800</v>
      </c>
      <c r="M43" s="57">
        <f t="shared" si="19"/>
        <v>1800</v>
      </c>
      <c r="N43" s="57">
        <f>SUM(B43:M43)</f>
        <v>21600</v>
      </c>
    </row>
    <row r="44" spans="1:14" ht="15" customHeight="1" x14ac:dyDescent="0.25">
      <c r="A44" s="8" t="s">
        <v>120</v>
      </c>
      <c r="B44" s="35" t="str">
        <f t="shared" ref="B44:M44" si="20">IF(OR(ISBLANK(B9),ISBLANK(B16),ISBLANK(B35)),"n/a",B42-B41)</f>
        <v>n/a</v>
      </c>
      <c r="C44" s="35" t="str">
        <f t="shared" si="20"/>
        <v>n/a</v>
      </c>
      <c r="D44" s="35" t="str">
        <f t="shared" si="20"/>
        <v>n/a</v>
      </c>
      <c r="E44" s="35" t="str">
        <f t="shared" si="20"/>
        <v>n/a</v>
      </c>
      <c r="F44" s="35" t="str">
        <f t="shared" si="20"/>
        <v>n/a</v>
      </c>
      <c r="G44" s="35" t="str">
        <f t="shared" si="20"/>
        <v>n/a</v>
      </c>
      <c r="H44" s="35" t="str">
        <f t="shared" si="20"/>
        <v>n/a</v>
      </c>
      <c r="I44" s="35" t="str">
        <f t="shared" si="20"/>
        <v>n/a</v>
      </c>
      <c r="J44" s="35" t="str">
        <f t="shared" si="20"/>
        <v>n/a</v>
      </c>
      <c r="K44" s="35" t="str">
        <f t="shared" si="20"/>
        <v>n/a</v>
      </c>
      <c r="L44" s="35" t="str">
        <f t="shared" si="20"/>
        <v>n/a</v>
      </c>
      <c r="M44" s="35" t="str">
        <f t="shared" si="20"/>
        <v>n/a</v>
      </c>
      <c r="N44" s="35" t="str">
        <f>IF(COUNT($B$9:$M$9)=0,"n/a",N42-SUMIF($B$9:$M$9,"&lt;&gt;",B41:M41))</f>
        <v>n/a</v>
      </c>
    </row>
    <row r="45" spans="1:14" ht="15" customHeight="1" x14ac:dyDescent="0.25">
      <c r="A45" s="8" t="s">
        <v>121</v>
      </c>
      <c r="B45" s="58" t="str">
        <f t="shared" ref="B45:M45" si="21">IF(OR(ISBLANK(B9),ISBLANK(B16),ISBLANK(B35)),"n/a",IF(B41=0,"n/a",(B42-B41)/B41))</f>
        <v>n/a</v>
      </c>
      <c r="C45" s="58" t="str">
        <f t="shared" si="21"/>
        <v>n/a</v>
      </c>
      <c r="D45" s="58" t="str">
        <f t="shared" si="21"/>
        <v>n/a</v>
      </c>
      <c r="E45" s="58" t="str">
        <f t="shared" si="21"/>
        <v>n/a</v>
      </c>
      <c r="F45" s="58" t="str">
        <f t="shared" si="21"/>
        <v>n/a</v>
      </c>
      <c r="G45" s="58" t="str">
        <f t="shared" si="21"/>
        <v>n/a</v>
      </c>
      <c r="H45" s="58" t="str">
        <f t="shared" si="21"/>
        <v>n/a</v>
      </c>
      <c r="I45" s="58" t="str">
        <f t="shared" si="21"/>
        <v>n/a</v>
      </c>
      <c r="J45" s="58" t="str">
        <f t="shared" si="21"/>
        <v>n/a</v>
      </c>
      <c r="K45" s="58" t="str">
        <f t="shared" si="21"/>
        <v>n/a</v>
      </c>
      <c r="L45" s="58" t="str">
        <f t="shared" si="21"/>
        <v>n/a</v>
      </c>
      <c r="M45" s="58" t="str">
        <f t="shared" si="21"/>
        <v>n/a</v>
      </c>
      <c r="N45" s="58" t="str">
        <f>IF(N44="n/a","n/a",N44/SUMIF($B$9:$M$9,"&lt;&gt;",B41:M41))</f>
        <v>n/a</v>
      </c>
    </row>
    <row r="47" spans="1:14" ht="15" customHeight="1" x14ac:dyDescent="0.25">
      <c r="A47" s="5" t="s">
        <v>127</v>
      </c>
      <c r="B47" s="6"/>
      <c r="C47" s="6"/>
      <c r="D47" s="6"/>
      <c r="E47" s="6"/>
      <c r="F47" s="6"/>
      <c r="G47" s="6"/>
      <c r="H47" s="6"/>
      <c r="I47" s="6"/>
      <c r="J47" s="6"/>
      <c r="K47" s="6"/>
      <c r="L47" s="6"/>
      <c r="M47" s="6"/>
      <c r="N47" s="6"/>
    </row>
    <row r="48" spans="1:14" ht="15" customHeight="1" x14ac:dyDescent="0.25">
      <c r="A48" s="8" t="s">
        <v>124</v>
      </c>
      <c r="B48" s="58">
        <f t="shared" ref="B48:N48" si="22">IF(B8=0,"n/a",B41/B8)</f>
        <v>0.2</v>
      </c>
      <c r="C48" s="58">
        <f t="shared" si="22"/>
        <v>0.2</v>
      </c>
      <c r="D48" s="58">
        <f t="shared" si="22"/>
        <v>0.2</v>
      </c>
      <c r="E48" s="58">
        <f t="shared" si="22"/>
        <v>0.2</v>
      </c>
      <c r="F48" s="58">
        <f t="shared" si="22"/>
        <v>0.2</v>
      </c>
      <c r="G48" s="58">
        <f t="shared" si="22"/>
        <v>0.2</v>
      </c>
      <c r="H48" s="58">
        <f t="shared" si="22"/>
        <v>0.2</v>
      </c>
      <c r="I48" s="58">
        <f t="shared" si="22"/>
        <v>0.2</v>
      </c>
      <c r="J48" s="58">
        <f t="shared" si="22"/>
        <v>0.2</v>
      </c>
      <c r="K48" s="58">
        <f t="shared" si="22"/>
        <v>0.2</v>
      </c>
      <c r="L48" s="58">
        <f t="shared" si="22"/>
        <v>0.2</v>
      </c>
      <c r="M48" s="58">
        <f t="shared" si="22"/>
        <v>0.2</v>
      </c>
      <c r="N48" s="58">
        <f t="shared" si="22"/>
        <v>0.2</v>
      </c>
    </row>
    <row r="49" spans="1:14" ht="15" customHeight="1" x14ac:dyDescent="0.25">
      <c r="A49" s="8" t="s">
        <v>125</v>
      </c>
      <c r="B49" s="58" t="str">
        <f t="shared" ref="B49:M49" si="23">IF(OR(ISBLANK(B9),ISBLANK(B16),ISBLANK(B35)),"n/a",IF(B9=0,"n/a",B42/B9))</f>
        <v>n/a</v>
      </c>
      <c r="C49" s="58" t="str">
        <f t="shared" si="23"/>
        <v>n/a</v>
      </c>
      <c r="D49" s="58" t="str">
        <f t="shared" si="23"/>
        <v>n/a</v>
      </c>
      <c r="E49" s="58" t="str">
        <f t="shared" si="23"/>
        <v>n/a</v>
      </c>
      <c r="F49" s="58" t="str">
        <f t="shared" si="23"/>
        <v>n/a</v>
      </c>
      <c r="G49" s="58" t="str">
        <f t="shared" si="23"/>
        <v>n/a</v>
      </c>
      <c r="H49" s="58" t="str">
        <f t="shared" si="23"/>
        <v>n/a</v>
      </c>
      <c r="I49" s="58" t="str">
        <f t="shared" si="23"/>
        <v>n/a</v>
      </c>
      <c r="J49" s="58" t="str">
        <f t="shared" si="23"/>
        <v>n/a</v>
      </c>
      <c r="K49" s="58" t="str">
        <f t="shared" si="23"/>
        <v>n/a</v>
      </c>
      <c r="L49" s="58" t="str">
        <f t="shared" si="23"/>
        <v>n/a</v>
      </c>
      <c r="M49" s="58" t="str">
        <f t="shared" si="23"/>
        <v>n/a</v>
      </c>
      <c r="N49" s="58" t="str">
        <f>IF(COUNT($B$9:$M$9)=0,"n/a",IF(N9=0,"n/a",N42/N9))</f>
        <v>n/a</v>
      </c>
    </row>
    <row r="50" spans="1:14" ht="15" customHeight="1" x14ac:dyDescent="0.25">
      <c r="A50" s="8" t="s">
        <v>126</v>
      </c>
      <c r="B50" s="58" t="str">
        <f t="shared" ref="B50:N50" si="24">IF(B49="n/a","n/a",B49-B48)</f>
        <v>n/a</v>
      </c>
      <c r="C50" s="58" t="str">
        <f t="shared" si="24"/>
        <v>n/a</v>
      </c>
      <c r="D50" s="58" t="str">
        <f t="shared" si="24"/>
        <v>n/a</v>
      </c>
      <c r="E50" s="58" t="str">
        <f t="shared" si="24"/>
        <v>n/a</v>
      </c>
      <c r="F50" s="58" t="str">
        <f t="shared" si="24"/>
        <v>n/a</v>
      </c>
      <c r="G50" s="58" t="str">
        <f t="shared" si="24"/>
        <v>n/a</v>
      </c>
      <c r="H50" s="58" t="str">
        <f t="shared" si="24"/>
        <v>n/a</v>
      </c>
      <c r="I50" s="58" t="str">
        <f t="shared" si="24"/>
        <v>n/a</v>
      </c>
      <c r="J50" s="58" t="str">
        <f t="shared" si="24"/>
        <v>n/a</v>
      </c>
      <c r="K50" s="58" t="str">
        <f t="shared" si="24"/>
        <v>n/a</v>
      </c>
      <c r="L50" s="58" t="str">
        <f t="shared" si="24"/>
        <v>n/a</v>
      </c>
      <c r="M50" s="58" t="str">
        <f t="shared" si="24"/>
        <v>n/a</v>
      </c>
      <c r="N50" s="58" t="str">
        <f t="shared" si="24"/>
        <v>n/a</v>
      </c>
    </row>
    <row r="52" spans="1:14" ht="15" customHeight="1" x14ac:dyDescent="0.25">
      <c r="A52" s="5" t="s">
        <v>6</v>
      </c>
      <c r="B52" s="6"/>
      <c r="C52" s="6"/>
      <c r="D52" s="6"/>
      <c r="E52" s="6"/>
      <c r="F52" s="6"/>
      <c r="G52" s="6"/>
      <c r="H52" s="6"/>
      <c r="I52" s="6"/>
      <c r="J52" s="6"/>
      <c r="K52" s="6"/>
      <c r="L52" s="6"/>
      <c r="M52" s="6"/>
      <c r="N52" s="6"/>
    </row>
    <row r="53" spans="1:14" ht="15" customHeight="1" x14ac:dyDescent="0.25">
      <c r="A53" s="8" t="s">
        <v>117</v>
      </c>
      <c r="B53" s="32">
        <f>'Monthly Forecast'!B18</f>
        <v>960</v>
      </c>
      <c r="C53" s="32">
        <f>'Monthly Forecast'!C18</f>
        <v>960</v>
      </c>
      <c r="D53" s="32">
        <f>'Monthly Forecast'!D18</f>
        <v>960</v>
      </c>
      <c r="E53" s="32">
        <f>'Monthly Forecast'!E18</f>
        <v>960</v>
      </c>
      <c r="F53" s="32">
        <f>'Monthly Forecast'!F18</f>
        <v>960</v>
      </c>
      <c r="G53" s="32">
        <f>'Monthly Forecast'!G18</f>
        <v>960</v>
      </c>
      <c r="H53" s="32">
        <f>'Monthly Forecast'!H18</f>
        <v>960</v>
      </c>
      <c r="I53" s="32">
        <f>'Monthly Forecast'!I18</f>
        <v>960</v>
      </c>
      <c r="J53" s="32">
        <f>'Monthly Forecast'!J18</f>
        <v>960</v>
      </c>
      <c r="K53" s="32">
        <f>'Monthly Forecast'!K18</f>
        <v>960</v>
      </c>
      <c r="L53" s="32">
        <f>'Monthly Forecast'!L18</f>
        <v>960</v>
      </c>
      <c r="M53" s="32">
        <f>'Monthly Forecast'!M18</f>
        <v>960</v>
      </c>
      <c r="N53" s="32">
        <f>SUM(B53:M53)</f>
        <v>11520</v>
      </c>
    </row>
    <row r="54" spans="1:14" ht="15" customHeight="1" x14ac:dyDescent="0.25">
      <c r="A54" s="8" t="s">
        <v>122</v>
      </c>
      <c r="B54" s="32" t="str">
        <f>IF(OR(ISBLANK(B9),ISBLANK(B16),ISBLANK(B35)),"",(B42-'Monthly Forecast'!B13-'Monthly Forecast'!B15)*(1-Assumptions!$C$11))</f>
        <v/>
      </c>
      <c r="C54" s="32" t="str">
        <f>IF(OR(ISBLANK(C9),ISBLANK(C16),ISBLANK(C35)),"",(C42-'Monthly Forecast'!C13-'Monthly Forecast'!C15)*(1-Assumptions!$C$11))</f>
        <v/>
      </c>
      <c r="D54" s="32" t="str">
        <f>IF(OR(ISBLANK(D9),ISBLANK(D16),ISBLANK(D35)),"",(D42-'Monthly Forecast'!D13-'Monthly Forecast'!D15)*(1-Assumptions!$C$11))</f>
        <v/>
      </c>
      <c r="E54" s="32" t="str">
        <f>IF(OR(ISBLANK(E9),ISBLANK(E16),ISBLANK(E35)),"",(E42-'Monthly Forecast'!E13-'Monthly Forecast'!E15)*(1-Assumptions!$C$11))</f>
        <v/>
      </c>
      <c r="F54" s="32" t="str">
        <f>IF(OR(ISBLANK(F9),ISBLANK(F16),ISBLANK(F35)),"",(F42-'Monthly Forecast'!F13-'Monthly Forecast'!F15)*(1-Assumptions!$C$11))</f>
        <v/>
      </c>
      <c r="G54" s="32" t="str">
        <f>IF(OR(ISBLANK(G9),ISBLANK(G16),ISBLANK(G35)),"",(G42-'Monthly Forecast'!G13-'Monthly Forecast'!G15)*(1-Assumptions!$C$11))</f>
        <v/>
      </c>
      <c r="H54" s="32" t="str">
        <f>IF(OR(ISBLANK(H9),ISBLANK(H16),ISBLANK(H35)),"",(H42-'Monthly Forecast'!H13-'Monthly Forecast'!H15)*(1-Assumptions!$C$11))</f>
        <v/>
      </c>
      <c r="I54" s="32" t="str">
        <f>IF(OR(ISBLANK(I9),ISBLANK(I16),ISBLANK(I35)),"",(I42-'Monthly Forecast'!I13-'Monthly Forecast'!I15)*(1-Assumptions!$C$11))</f>
        <v/>
      </c>
      <c r="J54" s="32" t="str">
        <f>IF(OR(ISBLANK(J9),ISBLANK(J16),ISBLANK(J35)),"",(J42-'Monthly Forecast'!J13-'Monthly Forecast'!J15)*(1-Assumptions!$C$11))</f>
        <v/>
      </c>
      <c r="K54" s="32" t="str">
        <f>IF(OR(ISBLANK(K9),ISBLANK(K16),ISBLANK(K35)),"",(K42-'Monthly Forecast'!K13-'Monthly Forecast'!K15)*(1-Assumptions!$C$11))</f>
        <v/>
      </c>
      <c r="L54" s="32" t="str">
        <f>IF(OR(ISBLANK(L9),ISBLANK(L16),ISBLANK(L35)),"",(L42-'Monthly Forecast'!L13-'Monthly Forecast'!L15)*(1-Assumptions!$C$11))</f>
        <v/>
      </c>
      <c r="M54" s="32" t="str">
        <f>IF(OR(ISBLANK(M9),ISBLANK(M16),ISBLANK(M35)),"",(M42-'Monthly Forecast'!M13-'Monthly Forecast'!M15)*(1-Assumptions!$C$11))</f>
        <v/>
      </c>
      <c r="N54" s="32" t="str">
        <f>IF(COUNT($B$9:$M$9)=0,"",SUM(B54:M54))</f>
        <v/>
      </c>
    </row>
    <row r="55" spans="1:14" ht="15" customHeight="1" x14ac:dyDescent="0.25">
      <c r="A55" s="8" t="s">
        <v>119</v>
      </c>
      <c r="B55" s="57">
        <f t="shared" ref="B55:M55" si="25">IF(OR(ISBLANK(B9),ISBLANK(B16),ISBLANK(B35)),B53,B54)</f>
        <v>960</v>
      </c>
      <c r="C55" s="57">
        <f t="shared" si="25"/>
        <v>960</v>
      </c>
      <c r="D55" s="57">
        <f t="shared" si="25"/>
        <v>960</v>
      </c>
      <c r="E55" s="57">
        <f t="shared" si="25"/>
        <v>960</v>
      </c>
      <c r="F55" s="57">
        <f t="shared" si="25"/>
        <v>960</v>
      </c>
      <c r="G55" s="57">
        <f t="shared" si="25"/>
        <v>960</v>
      </c>
      <c r="H55" s="57">
        <f t="shared" si="25"/>
        <v>960</v>
      </c>
      <c r="I55" s="57">
        <f t="shared" si="25"/>
        <v>960</v>
      </c>
      <c r="J55" s="57">
        <f t="shared" si="25"/>
        <v>960</v>
      </c>
      <c r="K55" s="57">
        <f t="shared" si="25"/>
        <v>960</v>
      </c>
      <c r="L55" s="57">
        <f t="shared" si="25"/>
        <v>960</v>
      </c>
      <c r="M55" s="57">
        <f t="shared" si="25"/>
        <v>960</v>
      </c>
      <c r="N55" s="57">
        <f>SUM(B55:M55)</f>
        <v>11520</v>
      </c>
    </row>
    <row r="56" spans="1:14" ht="15" customHeight="1" x14ac:dyDescent="0.25">
      <c r="A56" s="8" t="s">
        <v>120</v>
      </c>
      <c r="B56" s="35" t="str">
        <f t="shared" ref="B56:M56" si="26">IF(OR(ISBLANK(B9),ISBLANK(B16),ISBLANK(B35)),"n/a",B54-B53)</f>
        <v>n/a</v>
      </c>
      <c r="C56" s="35" t="str">
        <f t="shared" si="26"/>
        <v>n/a</v>
      </c>
      <c r="D56" s="35" t="str">
        <f t="shared" si="26"/>
        <v>n/a</v>
      </c>
      <c r="E56" s="35" t="str">
        <f t="shared" si="26"/>
        <v>n/a</v>
      </c>
      <c r="F56" s="35" t="str">
        <f t="shared" si="26"/>
        <v>n/a</v>
      </c>
      <c r="G56" s="35" t="str">
        <f t="shared" si="26"/>
        <v>n/a</v>
      </c>
      <c r="H56" s="35" t="str">
        <f t="shared" si="26"/>
        <v>n/a</v>
      </c>
      <c r="I56" s="35" t="str">
        <f t="shared" si="26"/>
        <v>n/a</v>
      </c>
      <c r="J56" s="35" t="str">
        <f t="shared" si="26"/>
        <v>n/a</v>
      </c>
      <c r="K56" s="35" t="str">
        <f t="shared" si="26"/>
        <v>n/a</v>
      </c>
      <c r="L56" s="35" t="str">
        <f t="shared" si="26"/>
        <v>n/a</v>
      </c>
      <c r="M56" s="35" t="str">
        <f t="shared" si="26"/>
        <v>n/a</v>
      </c>
      <c r="N56" s="35" t="str">
        <f>IF(COUNT($B$9:$M$9)=0,"n/a",N54-SUMIF($B$9:$M$9,"&lt;&gt;",B53:M53))</f>
        <v>n/a</v>
      </c>
    </row>
    <row r="57" spans="1:14" ht="15" customHeight="1" x14ac:dyDescent="0.25">
      <c r="A57" s="8" t="s">
        <v>121</v>
      </c>
      <c r="B57" s="58" t="str">
        <f t="shared" ref="B57:M57" si="27">IF(OR(ISBLANK(B9),ISBLANK(B16),ISBLANK(B35)),"n/a",IF(B53=0,"n/a",(B54-B53)/B53))</f>
        <v>n/a</v>
      </c>
      <c r="C57" s="58" t="str">
        <f t="shared" si="27"/>
        <v>n/a</v>
      </c>
      <c r="D57" s="58" t="str">
        <f t="shared" si="27"/>
        <v>n/a</v>
      </c>
      <c r="E57" s="58" t="str">
        <f t="shared" si="27"/>
        <v>n/a</v>
      </c>
      <c r="F57" s="58" t="str">
        <f t="shared" si="27"/>
        <v>n/a</v>
      </c>
      <c r="G57" s="58" t="str">
        <f t="shared" si="27"/>
        <v>n/a</v>
      </c>
      <c r="H57" s="58" t="str">
        <f t="shared" si="27"/>
        <v>n/a</v>
      </c>
      <c r="I57" s="58" t="str">
        <f t="shared" si="27"/>
        <v>n/a</v>
      </c>
      <c r="J57" s="58" t="str">
        <f t="shared" si="27"/>
        <v>n/a</v>
      </c>
      <c r="K57" s="58" t="str">
        <f t="shared" si="27"/>
        <v>n/a</v>
      </c>
      <c r="L57" s="58" t="str">
        <f t="shared" si="27"/>
        <v>n/a</v>
      </c>
      <c r="M57" s="58" t="str">
        <f t="shared" si="27"/>
        <v>n/a</v>
      </c>
      <c r="N57" s="58" t="str">
        <f>IF(N56="n/a","n/a",N56/SUMIF($B$9:$M$9,"&lt;&gt;",B53:M53))</f>
        <v>n/a</v>
      </c>
    </row>
    <row r="59" spans="1:14" ht="15" customHeight="1" x14ac:dyDescent="0.25">
      <c r="A59" s="5" t="s">
        <v>128</v>
      </c>
      <c r="B59" s="6"/>
      <c r="C59" s="6"/>
      <c r="D59" s="6"/>
      <c r="E59" s="6"/>
      <c r="F59" s="6"/>
      <c r="G59" s="6"/>
      <c r="H59" s="6"/>
      <c r="I59" s="6"/>
      <c r="J59" s="6"/>
      <c r="K59" s="6"/>
      <c r="L59" s="6"/>
      <c r="M59" s="6"/>
      <c r="N59" s="6"/>
    </row>
    <row r="60" spans="1:14" ht="15" customHeight="1" x14ac:dyDescent="0.25">
      <c r="A60" s="8" t="s">
        <v>124</v>
      </c>
      <c r="B60" s="58">
        <f t="shared" ref="B60:N60" si="28">IF(B8=0,"n/a",B53/B8)</f>
        <v>0.10666666666666667</v>
      </c>
      <c r="C60" s="58">
        <f t="shared" si="28"/>
        <v>0.10666666666666667</v>
      </c>
      <c r="D60" s="58">
        <f t="shared" si="28"/>
        <v>0.10666666666666667</v>
      </c>
      <c r="E60" s="58">
        <f t="shared" si="28"/>
        <v>0.10666666666666667</v>
      </c>
      <c r="F60" s="58">
        <f t="shared" si="28"/>
        <v>0.10666666666666667</v>
      </c>
      <c r="G60" s="58">
        <f t="shared" si="28"/>
        <v>0.10666666666666667</v>
      </c>
      <c r="H60" s="58">
        <f t="shared" si="28"/>
        <v>0.10666666666666667</v>
      </c>
      <c r="I60" s="58">
        <f t="shared" si="28"/>
        <v>0.10666666666666667</v>
      </c>
      <c r="J60" s="58">
        <f t="shared" si="28"/>
        <v>0.10666666666666667</v>
      </c>
      <c r="K60" s="58">
        <f t="shared" si="28"/>
        <v>0.10666666666666667</v>
      </c>
      <c r="L60" s="58">
        <f t="shared" si="28"/>
        <v>0.10666666666666667</v>
      </c>
      <c r="M60" s="58">
        <f t="shared" si="28"/>
        <v>0.10666666666666667</v>
      </c>
      <c r="N60" s="58">
        <f t="shared" si="28"/>
        <v>0.10666666666666667</v>
      </c>
    </row>
    <row r="61" spans="1:14" ht="15" customHeight="1" x14ac:dyDescent="0.25">
      <c r="A61" s="8" t="s">
        <v>125</v>
      </c>
      <c r="B61" s="58" t="str">
        <f t="shared" ref="B61:M61" si="29">IF(OR(ISBLANK(B9),ISBLANK(B16),ISBLANK(B35)),"n/a",IF(B9=0,"n/a",B54/B9))</f>
        <v>n/a</v>
      </c>
      <c r="C61" s="58" t="str">
        <f t="shared" si="29"/>
        <v>n/a</v>
      </c>
      <c r="D61" s="58" t="str">
        <f t="shared" si="29"/>
        <v>n/a</v>
      </c>
      <c r="E61" s="58" t="str">
        <f t="shared" si="29"/>
        <v>n/a</v>
      </c>
      <c r="F61" s="58" t="str">
        <f t="shared" si="29"/>
        <v>n/a</v>
      </c>
      <c r="G61" s="58" t="str">
        <f t="shared" si="29"/>
        <v>n/a</v>
      </c>
      <c r="H61" s="58" t="str">
        <f t="shared" si="29"/>
        <v>n/a</v>
      </c>
      <c r="I61" s="58" t="str">
        <f t="shared" si="29"/>
        <v>n/a</v>
      </c>
      <c r="J61" s="58" t="str">
        <f t="shared" si="29"/>
        <v>n/a</v>
      </c>
      <c r="K61" s="58" t="str">
        <f t="shared" si="29"/>
        <v>n/a</v>
      </c>
      <c r="L61" s="58" t="str">
        <f t="shared" si="29"/>
        <v>n/a</v>
      </c>
      <c r="M61" s="58" t="str">
        <f t="shared" si="29"/>
        <v>n/a</v>
      </c>
      <c r="N61" s="58" t="str">
        <f>IF(COUNT($B$9:$M$9)=0,"n/a",IF(N9=0,"n/a",N54/N9))</f>
        <v>n/a</v>
      </c>
    </row>
    <row r="62" spans="1:14" ht="15" customHeight="1" x14ac:dyDescent="0.25">
      <c r="A62" s="8" t="s">
        <v>126</v>
      </c>
      <c r="B62" s="58" t="str">
        <f t="shared" ref="B62:N62" si="30">IF(B61="n/a","n/a",B61-B60)</f>
        <v>n/a</v>
      </c>
      <c r="C62" s="58" t="str">
        <f t="shared" si="30"/>
        <v>n/a</v>
      </c>
      <c r="D62" s="58" t="str">
        <f t="shared" si="30"/>
        <v>n/a</v>
      </c>
      <c r="E62" s="58" t="str">
        <f t="shared" si="30"/>
        <v>n/a</v>
      </c>
      <c r="F62" s="58" t="str">
        <f t="shared" si="30"/>
        <v>n/a</v>
      </c>
      <c r="G62" s="58" t="str">
        <f t="shared" si="30"/>
        <v>n/a</v>
      </c>
      <c r="H62" s="58" t="str">
        <f t="shared" si="30"/>
        <v>n/a</v>
      </c>
      <c r="I62" s="58" t="str">
        <f t="shared" si="30"/>
        <v>n/a</v>
      </c>
      <c r="J62" s="58" t="str">
        <f t="shared" si="30"/>
        <v>n/a</v>
      </c>
      <c r="K62" s="58" t="str">
        <f t="shared" si="30"/>
        <v>n/a</v>
      </c>
      <c r="L62" s="58" t="str">
        <f t="shared" si="30"/>
        <v>n/a</v>
      </c>
      <c r="M62" s="58" t="str">
        <f t="shared" si="30"/>
        <v>n/a</v>
      </c>
      <c r="N62" s="58" t="str">
        <f t="shared" si="30"/>
        <v>n/a</v>
      </c>
    </row>
    <row r="64" spans="1:14" ht="15" customHeight="1" x14ac:dyDescent="0.25">
      <c r="A64" s="2" t="s">
        <v>129</v>
      </c>
      <c r="B64" s="2"/>
      <c r="C64" s="2"/>
      <c r="D64" s="2"/>
      <c r="E64" s="2"/>
      <c r="F64" s="2"/>
      <c r="G64" s="2"/>
      <c r="H64" s="2"/>
      <c r="I64" s="2"/>
      <c r="J64" s="2"/>
      <c r="K64" s="2"/>
      <c r="L64" s="2"/>
      <c r="M64" s="2"/>
      <c r="N64" s="2"/>
    </row>
    <row r="65" spans="1:14" ht="15" customHeight="1" x14ac:dyDescent="0.25">
      <c r="A65" s="2"/>
      <c r="B65" s="2"/>
      <c r="C65" s="2"/>
      <c r="D65" s="2"/>
      <c r="E65" s="2"/>
      <c r="F65" s="2"/>
      <c r="G65" s="2"/>
      <c r="H65" s="2"/>
      <c r="I65" s="2"/>
      <c r="J65" s="2"/>
      <c r="K65" s="2"/>
      <c r="L65" s="2"/>
      <c r="M65" s="2"/>
      <c r="N65" s="2"/>
    </row>
    <row r="66" spans="1:14" ht="15" customHeight="1" x14ac:dyDescent="0.25">
      <c r="A66" s="2"/>
      <c r="B66" s="2"/>
      <c r="C66" s="2"/>
      <c r="D66" s="2"/>
      <c r="E66" s="2"/>
      <c r="F66" s="2"/>
      <c r="G66" s="2"/>
      <c r="H66" s="2"/>
      <c r="I66" s="2"/>
      <c r="J66" s="2"/>
      <c r="K66" s="2"/>
      <c r="L66" s="2"/>
      <c r="M66" s="2"/>
      <c r="N66" s="2"/>
    </row>
  </sheetData>
  <mergeCells count="2">
    <mergeCell ref="A2:N4"/>
    <mergeCell ref="A64:N6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8"/>
  <sheetViews>
    <sheetView showGridLines="0" zoomScaleNormal="100" workbookViewId="0"/>
  </sheetViews>
  <sheetFormatPr defaultColWidth="8.7109375" defaultRowHeight="15" x14ac:dyDescent="0.25"/>
  <cols>
    <col min="1" max="1" width="100" customWidth="1"/>
  </cols>
  <sheetData>
    <row r="1" spans="1:1" ht="17.25" customHeight="1" x14ac:dyDescent="0.25">
      <c r="A1" s="3" t="s">
        <v>130</v>
      </c>
    </row>
    <row r="2" spans="1:1" ht="15" customHeight="1" x14ac:dyDescent="0.25">
      <c r="A2" s="4" t="str">
        <f>"Active scenario: "&amp;Assumptions!$B$4&amp;" — figures below update automatically if you change it."</f>
        <v>Active scenario: Base — figures below update automatically if you change it.</v>
      </c>
    </row>
    <row r="4" spans="1:1" ht="15" customHeight="1" x14ac:dyDescent="0.25">
      <c r="A4" s="5" t="s">
        <v>131</v>
      </c>
    </row>
    <row r="5" spans="1:1" ht="30" customHeight="1" x14ac:dyDescent="0.25">
      <c r="A5" s="30" t="str">
        <f>"1. Revenue is projected to grow from "&amp;TEXT('Income Statement'!B4,"$#,##0")&amp;" in 2026A to "&amp;TEXT('Income Statement'!G4,"$#,##0")&amp;" by 2031E ("&amp;TEXT(('Income Statement'!G4/'Income Statement'!B4)^(1/5)-1,"0.0%")&amp;" CAGR)."</f>
        <v>1. Revenue is projected to grow from $100,000 in 2026A to $146,933 by 2031E (8.0% CAGR).</v>
      </c>
    </row>
    <row r="6" spans="1:1" ht="30" customHeight="1" x14ac:dyDescent="0.25">
      <c r="A6" s="30" t="str">
        <f>"2. Net Income grows faster than revenue ("&amp;TEXT(('Income Statement'!G14/'Income Statement'!B14)^(1/5)-1,"0.0%")&amp;" CAGR vs "&amp;TEXT(('Income Statement'!G4/'Income Statement'!B4)^(1/5)-1,"0.0%")&amp;"), because interest expense stays flat on constant debt while revenue grows."</f>
        <v>2. Net Income grows faster than revenue (8.9% CAGR vs 8.0%), because interest expense stays flat on constant debt while revenue grows.</v>
      </c>
    </row>
    <row r="7" spans="1:1" ht="30" customHeight="1" x14ac:dyDescent="0.25">
      <c r="A7" s="30" t="str">
        <f>"3. Debt/Equity falls from "&amp;TEXT('Ratios &amp; KPIs'!B10,"0.0")&amp;"x in 2026A to "&amp;TEXT('Ratios &amp; KPIs'!G10,"0.0")&amp;"x by 2031E, so the business becomes steadily less dependent on debt as retained earnings build up equity."</f>
        <v>3. Debt/Equity falls from 0.9x in 2026A to 0.3x by 2031E, so the business becomes steadily less dependent on debt as retained earnings build up equity.</v>
      </c>
    </row>
    <row r="8" spans="1:1" ht="30" customHeight="1" x14ac:dyDescent="0.25">
      <c r="A8" s="30" t="str">
        <f>"4. Current Ratio improves from "&amp;TEXT('Ratios &amp; KPIs'!B9,"0.0")&amp;"x to "&amp;TEXT('Ratios &amp; KPIs'!G9,"0.0")&amp;"x, driven mainly by cash accumulating on the balance sheet rather than by a change in the underlying working-capital assumptions."</f>
        <v>4. Current Ratio improves from 4.7x to 9.8x, driven mainly by cash accumulating on the balance sheet rather than by a change in the underlying working-capital assumptions.</v>
      </c>
    </row>
    <row r="9" spans="1:1" ht="30" customHeight="1" x14ac:dyDescent="0.25">
      <c r="A9" s="30" t="str">
        <f>"5. The Downside scenario cuts 2031E Net Income to "&amp;TEXT('Executive Summary'!D37,"$#,##0")&amp;" (vs "&amp;TEXT('Executive Summary'!B37,"$#,##0")&amp;" in Base) — a small drop in margin assumptions has an outsized effect on the bottom line."</f>
        <v>5. The Downside scenario cuts 2031E Net Income to $3,860 (vs $16,192 in Base) — a small drop in margin assumptions has an outsized effect on the bottom line.</v>
      </c>
    </row>
    <row r="11" spans="1:1" ht="15" customHeight="1" x14ac:dyDescent="0.25">
      <c r="A11" s="5" t="s">
        <v>132</v>
      </c>
    </row>
    <row r="12" spans="1:1" ht="27.75" customHeight="1" x14ac:dyDescent="0.25">
      <c r="A12" s="30" t="s">
        <v>133</v>
      </c>
    </row>
    <row r="13" spans="1:1" ht="27.75" customHeight="1" x14ac:dyDescent="0.25">
      <c r="A13" s="30" t="s">
        <v>134</v>
      </c>
    </row>
    <row r="14" spans="1:1" ht="27.75" customHeight="1" x14ac:dyDescent="0.25">
      <c r="A14" s="30" t="str">
        <f>"3. The growing cash balance ("&amp;TEXT('Balance Sheet'!B4,"$#,##0")&amp;" -&gt; "&amp;TEXT('Balance Sheet'!G4,"$#,##0")&amp;") is a good problem to have — consider whether some of it should fund debt paydown, a dividend, or reinvestment, rather than sitting idle."</f>
        <v>3. The growing cash balance ($15,000 -&gt; $71,268) is a good problem to have — consider whether some of it should fund debt paydown, a dividend, or reinvestment, rather than sitting idle.</v>
      </c>
    </row>
    <row r="15" spans="1:1" ht="27.75" customHeight="1" x14ac:dyDescent="0.25">
      <c r="A15" s="30" t="s">
        <v>135</v>
      </c>
    </row>
    <row r="16" spans="1:1" ht="27.75" customHeight="1" x14ac:dyDescent="0.25">
      <c r="A16" s="30" t="s">
        <v>136</v>
      </c>
    </row>
    <row r="18" spans="1:1" ht="30" customHeight="1" x14ac:dyDescent="0.25">
      <c r="A18" s="13" t="s">
        <v>137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Assumptions</vt:lpstr>
      <vt:lpstr>Income Statement</vt:lpstr>
      <vt:lpstr>Balance Sheet</vt:lpstr>
      <vt:lpstr>Cash Flow Statement</vt:lpstr>
      <vt:lpstr>Ratios &amp; KPIs</vt:lpstr>
      <vt:lpstr>Monthly Forecast</vt:lpstr>
      <vt:lpstr>Actual vs Budget vs Forecast</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11</cp:revision>
  <dcterms:created xsi:type="dcterms:W3CDTF">2026-09-16T21:16:54Z</dcterms:created>
  <dcterms:modified xsi:type="dcterms:W3CDTF">2026-09-19T08:41:08Z</dcterms:modified>
  <dc:language>en-US</dc:language>
</cp:coreProperties>
</file>